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7560" windowHeight="14420" tabRatio="821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Authentication &amp; Account" sheetId="4" state="visible" r:id="rId4"/>
    <sheet xmlns:r="http://schemas.openxmlformats.org/officeDocument/2006/relationships" name="Project Workspace" sheetId="5" state="visible" r:id="rId5"/>
    <sheet xmlns:r="http://schemas.openxmlformats.org/officeDocument/2006/relationships" name="Data Management" sheetId="6" state="visible" r:id="rId6"/>
    <sheet xmlns:r="http://schemas.openxmlformats.org/officeDocument/2006/relationships" name="Data Connections &amp; Integrations" sheetId="7" state="visible" r:id="rId7"/>
    <sheet xmlns:r="http://schemas.openxmlformats.org/officeDocument/2006/relationships" name="Local Node" sheetId="8" state="visible" r:id="rId8"/>
    <sheet xmlns:r="http://schemas.openxmlformats.org/officeDocument/2006/relationships" name="Research Run Orchestration" sheetId="9" state="visible" r:id="rId9"/>
    <sheet xmlns:r="http://schemas.openxmlformats.org/officeDocument/2006/relationships" name="Notifications" sheetId="10" state="visible" r:id="rId10"/>
    <sheet xmlns:r="http://schemas.openxmlformats.org/officeDocument/2006/relationships" name="Administration" sheetId="11" state="visible" r:id="rId11"/>
  </sheets>
  <externalReferences>
    <externalReference xmlns:r="http://schemas.openxmlformats.org/officeDocument/2006/relationships" r:id="rId12"/>
  </externalReferences>
  <definedNames>
    <definedName name="ACTION">#REF!</definedName>
    <definedName name="ACTION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\-mmm\-yy;@"/>
    <numFmt numFmtId="165" formatCode="yyyy-mm-dd"/>
    <numFmt numFmtId="166" formatCode="mm/dd/yyyy"/>
    <numFmt numFmtId="167" formatCode="0.0"/>
  </numFmts>
  <fonts count="24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  <fill>
      <patternFill patternType="solid">
        <fgColor rgb="FFCCFFFF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63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2" fillId="2" borderId="0" pivotButton="0" quotePrefix="0" xfId="0"/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2" fillId="2" borderId="1" pivotButton="0" quotePrefix="0" xfId="0"/>
    <xf numFmtId="0" fontId="13" fillId="2" borderId="0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0" pivotButton="0" quotePrefix="0" xfId="0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5" pivotButton="0" quotePrefix="0" xfId="0"/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3" fillId="0" borderId="13" applyAlignment="1" pivotButton="0" quotePrefix="0" xfId="5">
      <alignment horizontal="center" vertical="center"/>
    </xf>
    <xf numFmtId="0" fontId="4" fillId="0" borderId="1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1" fillId="0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0" fillId="0" borderId="14" pivotButton="0" quotePrefix="0" xfId="0"/>
    <xf numFmtId="0" fontId="0" fillId="0" borderId="2" pivotButton="0" quotePrefix="0" xfId="0"/>
    <xf numFmtId="165" fontId="21" fillId="0" borderId="2" pivotButton="0" quotePrefix="0" xfId="5"/>
    <xf numFmtId="0" fontId="21" fillId="0" borderId="1" applyAlignment="1" pivotButton="0" quotePrefix="0" xfId="5">
      <alignment horizontal="left" vertical="center"/>
    </xf>
    <xf numFmtId="165" fontId="21" fillId="0" borderId="6" applyAlignment="1" pivotButton="0" quotePrefix="0" xfId="5">
      <alignment vertical="top" wrapText="1"/>
    </xf>
    <xf numFmtId="165" fontId="6" fillId="2" borderId="2" applyAlignment="1" pivotButton="0" quotePrefix="0" xfId="0">
      <alignment vertical="top"/>
    </xf>
    <xf numFmtId="167" fontId="0" fillId="0" borderId="0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  <xf numFmtId="0" fontId="10" fillId="7" borderId="23" applyAlignment="1" pivotButton="0" quotePrefix="0" xfId="3">
      <alignment horizontal="left" vertical="center"/>
    </xf>
    <xf numFmtId="166" fontId="2" fillId="2" borderId="1" applyAlignment="1" pivotButton="0" quotePrefix="0" xfId="3">
      <alignment vertical="top" wrapText="1"/>
    </xf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externalLink" Target="/xl/externalLinks/externalLink1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88900</rowOff>
    </from>
    <to>
      <col>0</col>
      <colOff>2133600</colOff>
      <row>1</row>
      <rowOff>787400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54000"/>
          <a:ext cx="2133600" cy="698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Report5_Unit%20Tes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#'Authentication &amp; Account'!A1" TargetMode="External" Id="rId1"/><Relationship Type="http://schemas.openxmlformats.org/officeDocument/2006/relationships/hyperlink" Target="#'Authentication &amp; Account'!A1" TargetMode="External" Id="rId2"/><Relationship Type="http://schemas.openxmlformats.org/officeDocument/2006/relationships/hyperlink" Target="#'Authentication &amp; Account'!A1" TargetMode="External" Id="rId3"/><Relationship Type="http://schemas.openxmlformats.org/officeDocument/2006/relationships/hyperlink" Target="#'Authentication &amp; Account'!A1" TargetMode="External" Id="rId4"/><Relationship Type="http://schemas.openxmlformats.org/officeDocument/2006/relationships/hyperlink" Target="#'Project Workspace'!A1" TargetMode="External" Id="rId5"/><Relationship Type="http://schemas.openxmlformats.org/officeDocument/2006/relationships/hyperlink" Target="#'Project Workspace'!A1" TargetMode="External" Id="rId6"/><Relationship Type="http://schemas.openxmlformats.org/officeDocument/2006/relationships/hyperlink" Target="#'Project Workspace'!A1" TargetMode="External" Id="rId7"/><Relationship Type="http://schemas.openxmlformats.org/officeDocument/2006/relationships/hyperlink" Target="#'Project Workspace'!A1" TargetMode="External" Id="rId8"/><Relationship Type="http://schemas.openxmlformats.org/officeDocument/2006/relationships/hyperlink" Target="#'Project Workspace'!A1" TargetMode="External" Id="rId9"/><Relationship Type="http://schemas.openxmlformats.org/officeDocument/2006/relationships/hyperlink" Target="#'Project Workspace'!A1" TargetMode="External" Id="rId10"/><Relationship Type="http://schemas.openxmlformats.org/officeDocument/2006/relationships/hyperlink" Target="#'Data Management'!A1" TargetMode="External" Id="rId11"/><Relationship Type="http://schemas.openxmlformats.org/officeDocument/2006/relationships/hyperlink" Target="#'Data Management'!A1" TargetMode="External" Id="rId12"/><Relationship Type="http://schemas.openxmlformats.org/officeDocument/2006/relationships/hyperlink" Target="#'Data Management'!A1" TargetMode="External" Id="rId13"/><Relationship Type="http://schemas.openxmlformats.org/officeDocument/2006/relationships/hyperlink" Target="#'Data Management'!A1" TargetMode="External" Id="rId14"/><Relationship Type="http://schemas.openxmlformats.org/officeDocument/2006/relationships/hyperlink" Target="#'Data Connections &amp; Integrations'!A1" TargetMode="External" Id="rId15"/><Relationship Type="http://schemas.openxmlformats.org/officeDocument/2006/relationships/hyperlink" Target="#'Data Connections &amp; Integrations'!A1" TargetMode="External" Id="rId16"/><Relationship Type="http://schemas.openxmlformats.org/officeDocument/2006/relationships/hyperlink" Target="#'Local Node'!A1" TargetMode="External" Id="rId17"/><Relationship Type="http://schemas.openxmlformats.org/officeDocument/2006/relationships/hyperlink" Target="#'Research Run Orchestration'!A1" TargetMode="External" Id="rId18"/><Relationship Type="http://schemas.openxmlformats.org/officeDocument/2006/relationships/hyperlink" Target="#'Research Run Orchestration'!A1" TargetMode="External" Id="rId19"/><Relationship Type="http://schemas.openxmlformats.org/officeDocument/2006/relationships/hyperlink" Target="#'Research Run Orchestration'!A1" TargetMode="External" Id="rId20"/><Relationship Type="http://schemas.openxmlformats.org/officeDocument/2006/relationships/hyperlink" Target="#'Research Run Orchestration'!A1" TargetMode="External" Id="rId21"/><Relationship Type="http://schemas.openxmlformats.org/officeDocument/2006/relationships/hyperlink" Target="#'Research Run Orchestration'!A1" TargetMode="External" Id="rId22"/><Relationship Type="http://schemas.openxmlformats.org/officeDocument/2006/relationships/hyperlink" Target="#'Research Run Orchestration'!A1" TargetMode="External" Id="rId23"/><Relationship Type="http://schemas.openxmlformats.org/officeDocument/2006/relationships/hyperlink" Target="#'Research Run Orchestration'!A1" TargetMode="External" Id="rId24"/><Relationship Type="http://schemas.openxmlformats.org/officeDocument/2006/relationships/hyperlink" Target="#'Research Run Orchestration'!A1" TargetMode="External" Id="rId25"/><Relationship Type="http://schemas.openxmlformats.org/officeDocument/2006/relationships/hyperlink" Target="#'Notifications'!A1" TargetMode="External" Id="rId26"/><Relationship Type="http://schemas.openxmlformats.org/officeDocument/2006/relationships/hyperlink" Target="#'Notifications'!A1" TargetMode="External" Id="rId27"/><Relationship Type="http://schemas.openxmlformats.org/officeDocument/2006/relationships/hyperlink" Target="#'Administration'!A1" TargetMode="External" Id="rId28"/><Relationship Type="http://schemas.openxmlformats.org/officeDocument/2006/relationships/hyperlink" Target="#'Administration'!A1" TargetMode="External" Id="rId29"/><Relationship Type="http://schemas.openxmlformats.org/officeDocument/2006/relationships/hyperlink" Target="#'Administration'!A1" TargetMode="External" Id="rId30"/><Relationship Type="http://schemas.openxmlformats.org/officeDocument/2006/relationships/hyperlink" Target="#'Project Workspace'!A1" TargetMode="External" Id="rId31"/><Relationship Type="http://schemas.openxmlformats.org/officeDocument/2006/relationships/hyperlink" Target="#'Project Workspace'!A1" TargetMode="External" Id="rId32"/><Relationship Type="http://schemas.openxmlformats.org/officeDocument/2006/relationships/hyperlink" Target="#'Project Workspace'!A1" TargetMode="External" Id="rId33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tabSelected="1" workbookViewId="0">
      <selection activeCell="B3" sqref="B3"/>
    </sheetView>
  </sheetViews>
  <sheetFormatPr baseColWidth="10" defaultColWidth="9" defaultRowHeight="13"/>
  <cols>
    <col width="28.1640625" customWidth="1" style="149" min="1" max="1"/>
    <col width="10" customWidth="1" style="118" min="2" max="2"/>
    <col width="14.33203125" customWidth="1" style="118" min="3" max="3"/>
    <col width="8" customWidth="1" style="118" min="4" max="4"/>
    <col width="38" customWidth="1" style="118" min="5" max="5"/>
    <col width="48.1640625" customWidth="1" style="118" min="6" max="6"/>
    <col width="9" customWidth="1" style="118" min="7" max="256"/>
    <col width="28.1640625" customWidth="1" style="118" min="257" max="257"/>
    <col width="10" customWidth="1" style="118" min="258" max="258"/>
    <col width="14.33203125" customWidth="1" style="118" min="259" max="259"/>
    <col width="8" customWidth="1" style="118" min="260" max="260"/>
    <col width="38" customWidth="1" style="118" min="261" max="261"/>
    <col width="48.1640625" customWidth="1" style="118" min="262" max="262"/>
    <col width="9" customWidth="1" style="118" min="263" max="512"/>
    <col width="28.1640625" customWidth="1" style="118" min="513" max="513"/>
    <col width="10" customWidth="1" style="118" min="514" max="514"/>
    <col width="14.33203125" customWidth="1" style="118" min="515" max="515"/>
    <col width="8" customWidth="1" style="118" min="516" max="516"/>
    <col width="38" customWidth="1" style="118" min="517" max="517"/>
    <col width="48.1640625" customWidth="1" style="118" min="518" max="518"/>
    <col width="9" customWidth="1" style="118" min="519" max="768"/>
    <col width="28.1640625" customWidth="1" style="118" min="769" max="769"/>
    <col width="10" customWidth="1" style="118" min="770" max="770"/>
    <col width="14.33203125" customWidth="1" style="118" min="771" max="771"/>
    <col width="8" customWidth="1" style="118" min="772" max="772"/>
    <col width="38" customWidth="1" style="118" min="773" max="773"/>
    <col width="48.1640625" customWidth="1" style="118" min="774" max="774"/>
    <col width="9" customWidth="1" style="118" min="775" max="1024"/>
    <col width="28.1640625" customWidth="1" style="118" min="1025" max="1025"/>
    <col width="10" customWidth="1" style="118" min="1026" max="1026"/>
    <col width="14.33203125" customWidth="1" style="118" min="1027" max="1027"/>
    <col width="8" customWidth="1" style="118" min="1028" max="1028"/>
    <col width="38" customWidth="1" style="118" min="1029" max="1029"/>
    <col width="48.1640625" customWidth="1" style="118" min="1030" max="1030"/>
    <col width="9" customWidth="1" style="118" min="1031" max="1280"/>
    <col width="28.1640625" customWidth="1" style="118" min="1281" max="1281"/>
    <col width="10" customWidth="1" style="118" min="1282" max="1282"/>
    <col width="14.33203125" customWidth="1" style="118" min="1283" max="1283"/>
    <col width="8" customWidth="1" style="118" min="1284" max="1284"/>
    <col width="38" customWidth="1" style="118" min="1285" max="1285"/>
    <col width="48.1640625" customWidth="1" style="118" min="1286" max="1286"/>
    <col width="9" customWidth="1" style="118" min="1287" max="1536"/>
    <col width="28.1640625" customWidth="1" style="118" min="1537" max="1537"/>
    <col width="10" customWidth="1" style="118" min="1538" max="1538"/>
    <col width="14.33203125" customWidth="1" style="118" min="1539" max="1539"/>
    <col width="8" customWidth="1" style="118" min="1540" max="1540"/>
    <col width="38" customWidth="1" style="118" min="1541" max="1541"/>
    <col width="48.1640625" customWidth="1" style="118" min="1542" max="1542"/>
    <col width="9" customWidth="1" style="118" min="1543" max="1792"/>
    <col width="28.1640625" customWidth="1" style="118" min="1793" max="1793"/>
    <col width="10" customWidth="1" style="118" min="1794" max="1794"/>
    <col width="14.33203125" customWidth="1" style="118" min="1795" max="1795"/>
    <col width="8" customWidth="1" style="118" min="1796" max="1796"/>
    <col width="38" customWidth="1" style="118" min="1797" max="1797"/>
    <col width="48.1640625" customWidth="1" style="118" min="1798" max="1798"/>
    <col width="9" customWidth="1" style="118" min="1799" max="2048"/>
    <col width="28.1640625" customWidth="1" style="118" min="2049" max="2049"/>
    <col width="10" customWidth="1" style="118" min="2050" max="2050"/>
    <col width="14.33203125" customWidth="1" style="118" min="2051" max="2051"/>
    <col width="8" customWidth="1" style="118" min="2052" max="2052"/>
    <col width="38" customWidth="1" style="118" min="2053" max="2053"/>
    <col width="48.1640625" customWidth="1" style="118" min="2054" max="2054"/>
    <col width="9" customWidth="1" style="118" min="2055" max="2304"/>
    <col width="28.1640625" customWidth="1" style="118" min="2305" max="2305"/>
    <col width="10" customWidth="1" style="118" min="2306" max="2306"/>
    <col width="14.33203125" customWidth="1" style="118" min="2307" max="2307"/>
    <col width="8" customWidth="1" style="118" min="2308" max="2308"/>
    <col width="38" customWidth="1" style="118" min="2309" max="2309"/>
    <col width="48.1640625" customWidth="1" style="118" min="2310" max="2310"/>
    <col width="9" customWidth="1" style="118" min="2311" max="2560"/>
    <col width="28.1640625" customWidth="1" style="118" min="2561" max="2561"/>
    <col width="10" customWidth="1" style="118" min="2562" max="2562"/>
    <col width="14.33203125" customWidth="1" style="118" min="2563" max="2563"/>
    <col width="8" customWidth="1" style="118" min="2564" max="2564"/>
    <col width="38" customWidth="1" style="118" min="2565" max="2565"/>
    <col width="48.1640625" customWidth="1" style="118" min="2566" max="2566"/>
    <col width="9" customWidth="1" style="118" min="2567" max="2816"/>
    <col width="28.1640625" customWidth="1" style="118" min="2817" max="2817"/>
    <col width="10" customWidth="1" style="118" min="2818" max="2818"/>
    <col width="14.33203125" customWidth="1" style="118" min="2819" max="2819"/>
    <col width="8" customWidth="1" style="118" min="2820" max="2820"/>
    <col width="38" customWidth="1" style="118" min="2821" max="2821"/>
    <col width="48.1640625" customWidth="1" style="118" min="2822" max="2822"/>
    <col width="9" customWidth="1" style="118" min="2823" max="3072"/>
    <col width="28.1640625" customWidth="1" style="118" min="3073" max="3073"/>
    <col width="10" customWidth="1" style="118" min="3074" max="3074"/>
    <col width="14.33203125" customWidth="1" style="118" min="3075" max="3075"/>
    <col width="8" customWidth="1" style="118" min="3076" max="3076"/>
    <col width="38" customWidth="1" style="118" min="3077" max="3077"/>
    <col width="48.1640625" customWidth="1" style="118" min="3078" max="3078"/>
    <col width="9" customWidth="1" style="118" min="3079" max="3328"/>
    <col width="28.1640625" customWidth="1" style="118" min="3329" max="3329"/>
    <col width="10" customWidth="1" style="118" min="3330" max="3330"/>
    <col width="14.33203125" customWidth="1" style="118" min="3331" max="3331"/>
    <col width="8" customWidth="1" style="118" min="3332" max="3332"/>
    <col width="38" customWidth="1" style="118" min="3333" max="3333"/>
    <col width="48.1640625" customWidth="1" style="118" min="3334" max="3334"/>
    <col width="9" customWidth="1" style="118" min="3335" max="3584"/>
    <col width="28.1640625" customWidth="1" style="118" min="3585" max="3585"/>
    <col width="10" customWidth="1" style="118" min="3586" max="3586"/>
    <col width="14.33203125" customWidth="1" style="118" min="3587" max="3587"/>
    <col width="8" customWidth="1" style="118" min="3588" max="3588"/>
    <col width="38" customWidth="1" style="118" min="3589" max="3589"/>
    <col width="48.1640625" customWidth="1" style="118" min="3590" max="3590"/>
    <col width="9" customWidth="1" style="118" min="3591" max="3840"/>
    <col width="28.1640625" customWidth="1" style="118" min="3841" max="3841"/>
    <col width="10" customWidth="1" style="118" min="3842" max="3842"/>
    <col width="14.33203125" customWidth="1" style="118" min="3843" max="3843"/>
    <col width="8" customWidth="1" style="118" min="3844" max="3844"/>
    <col width="38" customWidth="1" style="118" min="3845" max="3845"/>
    <col width="48.1640625" customWidth="1" style="118" min="3846" max="3846"/>
    <col width="9" customWidth="1" style="118" min="3847" max="4096"/>
    <col width="28.1640625" customWidth="1" style="118" min="4097" max="4097"/>
    <col width="10" customWidth="1" style="118" min="4098" max="4098"/>
    <col width="14.33203125" customWidth="1" style="118" min="4099" max="4099"/>
    <col width="8" customWidth="1" style="118" min="4100" max="4100"/>
    <col width="38" customWidth="1" style="118" min="4101" max="4101"/>
    <col width="48.1640625" customWidth="1" style="118" min="4102" max="4102"/>
    <col width="9" customWidth="1" style="118" min="4103" max="4352"/>
    <col width="28.1640625" customWidth="1" style="118" min="4353" max="4353"/>
    <col width="10" customWidth="1" style="118" min="4354" max="4354"/>
    <col width="14.33203125" customWidth="1" style="118" min="4355" max="4355"/>
    <col width="8" customWidth="1" style="118" min="4356" max="4356"/>
    <col width="38" customWidth="1" style="118" min="4357" max="4357"/>
    <col width="48.1640625" customWidth="1" style="118" min="4358" max="4358"/>
    <col width="9" customWidth="1" style="118" min="4359" max="4608"/>
    <col width="28.1640625" customWidth="1" style="118" min="4609" max="4609"/>
    <col width="10" customWidth="1" style="118" min="4610" max="4610"/>
    <col width="14.33203125" customWidth="1" style="118" min="4611" max="4611"/>
    <col width="8" customWidth="1" style="118" min="4612" max="4612"/>
    <col width="38" customWidth="1" style="118" min="4613" max="4613"/>
    <col width="48.1640625" customWidth="1" style="118" min="4614" max="4614"/>
    <col width="9" customWidth="1" style="118" min="4615" max="4864"/>
    <col width="28.1640625" customWidth="1" style="118" min="4865" max="4865"/>
    <col width="10" customWidth="1" style="118" min="4866" max="4866"/>
    <col width="14.33203125" customWidth="1" style="118" min="4867" max="4867"/>
    <col width="8" customWidth="1" style="118" min="4868" max="4868"/>
    <col width="38" customWidth="1" style="118" min="4869" max="4869"/>
    <col width="48.1640625" customWidth="1" style="118" min="4870" max="4870"/>
    <col width="9" customWidth="1" style="118" min="4871" max="5120"/>
    <col width="28.1640625" customWidth="1" style="118" min="5121" max="5121"/>
    <col width="10" customWidth="1" style="118" min="5122" max="5122"/>
    <col width="14.33203125" customWidth="1" style="118" min="5123" max="5123"/>
    <col width="8" customWidth="1" style="118" min="5124" max="5124"/>
    <col width="38" customWidth="1" style="118" min="5125" max="5125"/>
    <col width="48.1640625" customWidth="1" style="118" min="5126" max="5126"/>
    <col width="9" customWidth="1" style="118" min="5127" max="5376"/>
    <col width="28.1640625" customWidth="1" style="118" min="5377" max="5377"/>
    <col width="10" customWidth="1" style="118" min="5378" max="5378"/>
    <col width="14.33203125" customWidth="1" style="118" min="5379" max="5379"/>
    <col width="8" customWidth="1" style="118" min="5380" max="5380"/>
    <col width="38" customWidth="1" style="118" min="5381" max="5381"/>
    <col width="48.1640625" customWidth="1" style="118" min="5382" max="5382"/>
    <col width="9" customWidth="1" style="118" min="5383" max="5632"/>
    <col width="28.1640625" customWidth="1" style="118" min="5633" max="5633"/>
    <col width="10" customWidth="1" style="118" min="5634" max="5634"/>
    <col width="14.33203125" customWidth="1" style="118" min="5635" max="5635"/>
    <col width="8" customWidth="1" style="118" min="5636" max="5636"/>
    <col width="38" customWidth="1" style="118" min="5637" max="5637"/>
    <col width="48.1640625" customWidth="1" style="118" min="5638" max="5638"/>
    <col width="9" customWidth="1" style="118" min="5639" max="5888"/>
    <col width="28.1640625" customWidth="1" style="118" min="5889" max="5889"/>
    <col width="10" customWidth="1" style="118" min="5890" max="5890"/>
    <col width="14.33203125" customWidth="1" style="118" min="5891" max="5891"/>
    <col width="8" customWidth="1" style="118" min="5892" max="5892"/>
    <col width="38" customWidth="1" style="118" min="5893" max="5893"/>
    <col width="48.1640625" customWidth="1" style="118" min="5894" max="5894"/>
    <col width="9" customWidth="1" style="118" min="5895" max="6144"/>
    <col width="28.1640625" customWidth="1" style="118" min="6145" max="6145"/>
    <col width="10" customWidth="1" style="118" min="6146" max="6146"/>
    <col width="14.33203125" customWidth="1" style="118" min="6147" max="6147"/>
    <col width="8" customWidth="1" style="118" min="6148" max="6148"/>
    <col width="38" customWidth="1" style="118" min="6149" max="6149"/>
    <col width="48.1640625" customWidth="1" style="118" min="6150" max="6150"/>
    <col width="9" customWidth="1" style="118" min="6151" max="6400"/>
    <col width="28.1640625" customWidth="1" style="118" min="6401" max="6401"/>
    <col width="10" customWidth="1" style="118" min="6402" max="6402"/>
    <col width="14.33203125" customWidth="1" style="118" min="6403" max="6403"/>
    <col width="8" customWidth="1" style="118" min="6404" max="6404"/>
    <col width="38" customWidth="1" style="118" min="6405" max="6405"/>
    <col width="48.1640625" customWidth="1" style="118" min="6406" max="6406"/>
    <col width="9" customWidth="1" style="118" min="6407" max="6656"/>
    <col width="28.1640625" customWidth="1" style="118" min="6657" max="6657"/>
    <col width="10" customWidth="1" style="118" min="6658" max="6658"/>
    <col width="14.33203125" customWidth="1" style="118" min="6659" max="6659"/>
    <col width="8" customWidth="1" style="118" min="6660" max="6660"/>
    <col width="38" customWidth="1" style="118" min="6661" max="6661"/>
    <col width="48.1640625" customWidth="1" style="118" min="6662" max="6662"/>
    <col width="9" customWidth="1" style="118" min="6663" max="6912"/>
    <col width="28.1640625" customWidth="1" style="118" min="6913" max="6913"/>
    <col width="10" customWidth="1" style="118" min="6914" max="6914"/>
    <col width="14.33203125" customWidth="1" style="118" min="6915" max="6915"/>
    <col width="8" customWidth="1" style="118" min="6916" max="6916"/>
    <col width="38" customWidth="1" style="118" min="6917" max="6917"/>
    <col width="48.1640625" customWidth="1" style="118" min="6918" max="6918"/>
    <col width="9" customWidth="1" style="118" min="6919" max="7168"/>
    <col width="28.1640625" customWidth="1" style="118" min="7169" max="7169"/>
    <col width="10" customWidth="1" style="118" min="7170" max="7170"/>
    <col width="14.33203125" customWidth="1" style="118" min="7171" max="7171"/>
    <col width="8" customWidth="1" style="118" min="7172" max="7172"/>
    <col width="38" customWidth="1" style="118" min="7173" max="7173"/>
    <col width="48.1640625" customWidth="1" style="118" min="7174" max="7174"/>
    <col width="9" customWidth="1" style="118" min="7175" max="7424"/>
    <col width="28.1640625" customWidth="1" style="118" min="7425" max="7425"/>
    <col width="10" customWidth="1" style="118" min="7426" max="7426"/>
    <col width="14.33203125" customWidth="1" style="118" min="7427" max="7427"/>
    <col width="8" customWidth="1" style="118" min="7428" max="7428"/>
    <col width="38" customWidth="1" style="118" min="7429" max="7429"/>
    <col width="48.1640625" customWidth="1" style="118" min="7430" max="7430"/>
    <col width="9" customWidth="1" style="118" min="7431" max="7680"/>
    <col width="28.1640625" customWidth="1" style="118" min="7681" max="7681"/>
    <col width="10" customWidth="1" style="118" min="7682" max="7682"/>
    <col width="14.33203125" customWidth="1" style="118" min="7683" max="7683"/>
    <col width="8" customWidth="1" style="118" min="7684" max="7684"/>
    <col width="38" customWidth="1" style="118" min="7685" max="7685"/>
    <col width="48.1640625" customWidth="1" style="118" min="7686" max="7686"/>
    <col width="9" customWidth="1" style="118" min="7687" max="7936"/>
    <col width="28.1640625" customWidth="1" style="118" min="7937" max="7937"/>
    <col width="10" customWidth="1" style="118" min="7938" max="7938"/>
    <col width="14.33203125" customWidth="1" style="118" min="7939" max="7939"/>
    <col width="8" customWidth="1" style="118" min="7940" max="7940"/>
    <col width="38" customWidth="1" style="118" min="7941" max="7941"/>
    <col width="48.1640625" customWidth="1" style="118" min="7942" max="7942"/>
    <col width="9" customWidth="1" style="118" min="7943" max="8192"/>
    <col width="28.1640625" customWidth="1" style="118" min="8193" max="8193"/>
    <col width="10" customWidth="1" style="118" min="8194" max="8194"/>
    <col width="14.33203125" customWidth="1" style="118" min="8195" max="8195"/>
    <col width="8" customWidth="1" style="118" min="8196" max="8196"/>
    <col width="38" customWidth="1" style="118" min="8197" max="8197"/>
    <col width="48.1640625" customWidth="1" style="118" min="8198" max="8198"/>
    <col width="9" customWidth="1" style="118" min="8199" max="8448"/>
    <col width="28.1640625" customWidth="1" style="118" min="8449" max="8449"/>
    <col width="10" customWidth="1" style="118" min="8450" max="8450"/>
    <col width="14.33203125" customWidth="1" style="118" min="8451" max="8451"/>
    <col width="8" customWidth="1" style="118" min="8452" max="8452"/>
    <col width="38" customWidth="1" style="118" min="8453" max="8453"/>
    <col width="48.1640625" customWidth="1" style="118" min="8454" max="8454"/>
    <col width="9" customWidth="1" style="118" min="8455" max="8704"/>
    <col width="28.1640625" customWidth="1" style="118" min="8705" max="8705"/>
    <col width="10" customWidth="1" style="118" min="8706" max="8706"/>
    <col width="14.33203125" customWidth="1" style="118" min="8707" max="8707"/>
    <col width="8" customWidth="1" style="118" min="8708" max="8708"/>
    <col width="38" customWidth="1" style="118" min="8709" max="8709"/>
    <col width="48.1640625" customWidth="1" style="118" min="8710" max="8710"/>
    <col width="9" customWidth="1" style="118" min="8711" max="8960"/>
    <col width="28.1640625" customWidth="1" style="118" min="8961" max="8961"/>
    <col width="10" customWidth="1" style="118" min="8962" max="8962"/>
    <col width="14.33203125" customWidth="1" style="118" min="8963" max="8963"/>
    <col width="8" customWidth="1" style="118" min="8964" max="8964"/>
    <col width="38" customWidth="1" style="118" min="8965" max="8965"/>
    <col width="48.1640625" customWidth="1" style="118" min="8966" max="8966"/>
    <col width="9" customWidth="1" style="118" min="8967" max="9216"/>
    <col width="28.1640625" customWidth="1" style="118" min="9217" max="9217"/>
    <col width="10" customWidth="1" style="118" min="9218" max="9218"/>
    <col width="14.33203125" customWidth="1" style="118" min="9219" max="9219"/>
    <col width="8" customWidth="1" style="118" min="9220" max="9220"/>
    <col width="38" customWidth="1" style="118" min="9221" max="9221"/>
    <col width="48.1640625" customWidth="1" style="118" min="9222" max="9222"/>
    <col width="9" customWidth="1" style="118" min="9223" max="9472"/>
    <col width="28.1640625" customWidth="1" style="118" min="9473" max="9473"/>
    <col width="10" customWidth="1" style="118" min="9474" max="9474"/>
    <col width="14.33203125" customWidth="1" style="118" min="9475" max="9475"/>
    <col width="8" customWidth="1" style="118" min="9476" max="9476"/>
    <col width="38" customWidth="1" style="118" min="9477" max="9477"/>
    <col width="48.1640625" customWidth="1" style="118" min="9478" max="9478"/>
    <col width="9" customWidth="1" style="118" min="9479" max="9728"/>
    <col width="28.1640625" customWidth="1" style="118" min="9729" max="9729"/>
    <col width="10" customWidth="1" style="118" min="9730" max="9730"/>
    <col width="14.33203125" customWidth="1" style="118" min="9731" max="9731"/>
    <col width="8" customWidth="1" style="118" min="9732" max="9732"/>
    <col width="38" customWidth="1" style="118" min="9733" max="9733"/>
    <col width="48.1640625" customWidth="1" style="118" min="9734" max="9734"/>
    <col width="9" customWidth="1" style="118" min="9735" max="9984"/>
    <col width="28.1640625" customWidth="1" style="118" min="9985" max="9985"/>
    <col width="10" customWidth="1" style="118" min="9986" max="9986"/>
    <col width="14.33203125" customWidth="1" style="118" min="9987" max="9987"/>
    <col width="8" customWidth="1" style="118" min="9988" max="9988"/>
    <col width="38" customWidth="1" style="118" min="9989" max="9989"/>
    <col width="48.1640625" customWidth="1" style="118" min="9990" max="9990"/>
    <col width="9" customWidth="1" style="118" min="9991" max="10240"/>
    <col width="28.1640625" customWidth="1" style="118" min="10241" max="10241"/>
    <col width="10" customWidth="1" style="118" min="10242" max="10242"/>
    <col width="14.33203125" customWidth="1" style="118" min="10243" max="10243"/>
    <col width="8" customWidth="1" style="118" min="10244" max="10244"/>
    <col width="38" customWidth="1" style="118" min="10245" max="10245"/>
    <col width="48.1640625" customWidth="1" style="118" min="10246" max="10246"/>
    <col width="9" customWidth="1" style="118" min="10247" max="10496"/>
    <col width="28.1640625" customWidth="1" style="118" min="10497" max="10497"/>
    <col width="10" customWidth="1" style="118" min="10498" max="10498"/>
    <col width="14.33203125" customWidth="1" style="118" min="10499" max="10499"/>
    <col width="8" customWidth="1" style="118" min="10500" max="10500"/>
    <col width="38" customWidth="1" style="118" min="10501" max="10501"/>
    <col width="48.1640625" customWidth="1" style="118" min="10502" max="10502"/>
    <col width="9" customWidth="1" style="118" min="10503" max="10752"/>
    <col width="28.1640625" customWidth="1" style="118" min="10753" max="10753"/>
    <col width="10" customWidth="1" style="118" min="10754" max="10754"/>
    <col width="14.33203125" customWidth="1" style="118" min="10755" max="10755"/>
    <col width="8" customWidth="1" style="118" min="10756" max="10756"/>
    <col width="38" customWidth="1" style="118" min="10757" max="10757"/>
    <col width="48.1640625" customWidth="1" style="118" min="10758" max="10758"/>
    <col width="9" customWidth="1" style="118" min="10759" max="11008"/>
    <col width="28.1640625" customWidth="1" style="118" min="11009" max="11009"/>
    <col width="10" customWidth="1" style="118" min="11010" max="11010"/>
    <col width="14.33203125" customWidth="1" style="118" min="11011" max="11011"/>
    <col width="8" customWidth="1" style="118" min="11012" max="11012"/>
    <col width="38" customWidth="1" style="118" min="11013" max="11013"/>
    <col width="48.1640625" customWidth="1" style="118" min="11014" max="11014"/>
    <col width="9" customWidth="1" style="118" min="11015" max="11264"/>
    <col width="28.1640625" customWidth="1" style="118" min="11265" max="11265"/>
    <col width="10" customWidth="1" style="118" min="11266" max="11266"/>
    <col width="14.33203125" customWidth="1" style="118" min="11267" max="11267"/>
    <col width="8" customWidth="1" style="118" min="11268" max="11268"/>
    <col width="38" customWidth="1" style="118" min="11269" max="11269"/>
    <col width="48.1640625" customWidth="1" style="118" min="11270" max="11270"/>
    <col width="9" customWidth="1" style="118" min="11271" max="11520"/>
    <col width="28.1640625" customWidth="1" style="118" min="11521" max="11521"/>
    <col width="10" customWidth="1" style="118" min="11522" max="11522"/>
    <col width="14.33203125" customWidth="1" style="118" min="11523" max="11523"/>
    <col width="8" customWidth="1" style="118" min="11524" max="11524"/>
    <col width="38" customWidth="1" style="118" min="11525" max="11525"/>
    <col width="48.1640625" customWidth="1" style="118" min="11526" max="11526"/>
    <col width="9" customWidth="1" style="118" min="11527" max="11776"/>
    <col width="28.1640625" customWidth="1" style="118" min="11777" max="11777"/>
    <col width="10" customWidth="1" style="118" min="11778" max="11778"/>
    <col width="14.33203125" customWidth="1" style="118" min="11779" max="11779"/>
    <col width="8" customWidth="1" style="118" min="11780" max="11780"/>
    <col width="38" customWidth="1" style="118" min="11781" max="11781"/>
    <col width="48.1640625" customWidth="1" style="118" min="11782" max="11782"/>
    <col width="9" customWidth="1" style="118" min="11783" max="12032"/>
    <col width="28.1640625" customWidth="1" style="118" min="12033" max="12033"/>
    <col width="10" customWidth="1" style="118" min="12034" max="12034"/>
    <col width="14.33203125" customWidth="1" style="118" min="12035" max="12035"/>
    <col width="8" customWidth="1" style="118" min="12036" max="12036"/>
    <col width="38" customWidth="1" style="118" min="12037" max="12037"/>
    <col width="48.1640625" customWidth="1" style="118" min="12038" max="12038"/>
    <col width="9" customWidth="1" style="118" min="12039" max="12288"/>
    <col width="28.1640625" customWidth="1" style="118" min="12289" max="12289"/>
    <col width="10" customWidth="1" style="118" min="12290" max="12290"/>
    <col width="14.33203125" customWidth="1" style="118" min="12291" max="12291"/>
    <col width="8" customWidth="1" style="118" min="12292" max="12292"/>
    <col width="38" customWidth="1" style="118" min="12293" max="12293"/>
    <col width="48.1640625" customWidth="1" style="118" min="12294" max="12294"/>
    <col width="9" customWidth="1" style="118" min="12295" max="12544"/>
    <col width="28.1640625" customWidth="1" style="118" min="12545" max="12545"/>
    <col width="10" customWidth="1" style="118" min="12546" max="12546"/>
    <col width="14.33203125" customWidth="1" style="118" min="12547" max="12547"/>
    <col width="8" customWidth="1" style="118" min="12548" max="12548"/>
    <col width="38" customWidth="1" style="118" min="12549" max="12549"/>
    <col width="48.1640625" customWidth="1" style="118" min="12550" max="12550"/>
    <col width="9" customWidth="1" style="118" min="12551" max="12800"/>
    <col width="28.1640625" customWidth="1" style="118" min="12801" max="12801"/>
    <col width="10" customWidth="1" style="118" min="12802" max="12802"/>
    <col width="14.33203125" customWidth="1" style="118" min="12803" max="12803"/>
    <col width="8" customWidth="1" style="118" min="12804" max="12804"/>
    <col width="38" customWidth="1" style="118" min="12805" max="12805"/>
    <col width="48.1640625" customWidth="1" style="118" min="12806" max="12806"/>
    <col width="9" customWidth="1" style="118" min="12807" max="13056"/>
    <col width="28.1640625" customWidth="1" style="118" min="13057" max="13057"/>
    <col width="10" customWidth="1" style="118" min="13058" max="13058"/>
    <col width="14.33203125" customWidth="1" style="118" min="13059" max="13059"/>
    <col width="8" customWidth="1" style="118" min="13060" max="13060"/>
    <col width="38" customWidth="1" style="118" min="13061" max="13061"/>
    <col width="48.1640625" customWidth="1" style="118" min="13062" max="13062"/>
    <col width="9" customWidth="1" style="118" min="13063" max="13312"/>
    <col width="28.1640625" customWidth="1" style="118" min="13313" max="13313"/>
    <col width="10" customWidth="1" style="118" min="13314" max="13314"/>
    <col width="14.33203125" customWidth="1" style="118" min="13315" max="13315"/>
    <col width="8" customWidth="1" style="118" min="13316" max="13316"/>
    <col width="38" customWidth="1" style="118" min="13317" max="13317"/>
    <col width="48.1640625" customWidth="1" style="118" min="13318" max="13318"/>
    <col width="9" customWidth="1" style="118" min="13319" max="13568"/>
    <col width="28.1640625" customWidth="1" style="118" min="13569" max="13569"/>
    <col width="10" customWidth="1" style="118" min="13570" max="13570"/>
    <col width="14.33203125" customWidth="1" style="118" min="13571" max="13571"/>
    <col width="8" customWidth="1" style="118" min="13572" max="13572"/>
    <col width="38" customWidth="1" style="118" min="13573" max="13573"/>
    <col width="48.1640625" customWidth="1" style="118" min="13574" max="13574"/>
    <col width="9" customWidth="1" style="118" min="13575" max="13824"/>
    <col width="28.1640625" customWidth="1" style="118" min="13825" max="13825"/>
    <col width="10" customWidth="1" style="118" min="13826" max="13826"/>
    <col width="14.33203125" customWidth="1" style="118" min="13827" max="13827"/>
    <col width="8" customWidth="1" style="118" min="13828" max="13828"/>
    <col width="38" customWidth="1" style="118" min="13829" max="13829"/>
    <col width="48.1640625" customWidth="1" style="118" min="13830" max="13830"/>
    <col width="9" customWidth="1" style="118" min="13831" max="14080"/>
    <col width="28.1640625" customWidth="1" style="118" min="14081" max="14081"/>
    <col width="10" customWidth="1" style="118" min="14082" max="14082"/>
    <col width="14.33203125" customWidth="1" style="118" min="14083" max="14083"/>
    <col width="8" customWidth="1" style="118" min="14084" max="14084"/>
    <col width="38" customWidth="1" style="118" min="14085" max="14085"/>
    <col width="48.1640625" customWidth="1" style="118" min="14086" max="14086"/>
    <col width="9" customWidth="1" style="118" min="14087" max="14336"/>
    <col width="28.1640625" customWidth="1" style="118" min="14337" max="14337"/>
    <col width="10" customWidth="1" style="118" min="14338" max="14338"/>
    <col width="14.33203125" customWidth="1" style="118" min="14339" max="14339"/>
    <col width="8" customWidth="1" style="118" min="14340" max="14340"/>
    <col width="38" customWidth="1" style="118" min="14341" max="14341"/>
    <col width="48.1640625" customWidth="1" style="118" min="14342" max="14342"/>
    <col width="9" customWidth="1" style="118" min="14343" max="14592"/>
    <col width="28.1640625" customWidth="1" style="118" min="14593" max="14593"/>
    <col width="10" customWidth="1" style="118" min="14594" max="14594"/>
    <col width="14.33203125" customWidth="1" style="118" min="14595" max="14595"/>
    <col width="8" customWidth="1" style="118" min="14596" max="14596"/>
    <col width="38" customWidth="1" style="118" min="14597" max="14597"/>
    <col width="48.1640625" customWidth="1" style="118" min="14598" max="14598"/>
    <col width="9" customWidth="1" style="118" min="14599" max="14848"/>
    <col width="28.1640625" customWidth="1" style="118" min="14849" max="14849"/>
    <col width="10" customWidth="1" style="118" min="14850" max="14850"/>
    <col width="14.33203125" customWidth="1" style="118" min="14851" max="14851"/>
    <col width="8" customWidth="1" style="118" min="14852" max="14852"/>
    <col width="38" customWidth="1" style="118" min="14853" max="14853"/>
    <col width="48.1640625" customWidth="1" style="118" min="14854" max="14854"/>
    <col width="9" customWidth="1" style="118" min="14855" max="15104"/>
    <col width="28.1640625" customWidth="1" style="118" min="15105" max="15105"/>
    <col width="10" customWidth="1" style="118" min="15106" max="15106"/>
    <col width="14.33203125" customWidth="1" style="118" min="15107" max="15107"/>
    <col width="8" customWidth="1" style="118" min="15108" max="15108"/>
    <col width="38" customWidth="1" style="118" min="15109" max="15109"/>
    <col width="48.1640625" customWidth="1" style="118" min="15110" max="15110"/>
    <col width="9" customWidth="1" style="118" min="15111" max="15360"/>
    <col width="28.1640625" customWidth="1" style="118" min="15361" max="15361"/>
    <col width="10" customWidth="1" style="118" min="15362" max="15362"/>
    <col width="14.33203125" customWidth="1" style="118" min="15363" max="15363"/>
    <col width="8" customWidth="1" style="118" min="15364" max="15364"/>
    <col width="38" customWidth="1" style="118" min="15365" max="15365"/>
    <col width="48.1640625" customWidth="1" style="118" min="15366" max="15366"/>
    <col width="9" customWidth="1" style="118" min="15367" max="15616"/>
    <col width="28.1640625" customWidth="1" style="118" min="15617" max="15617"/>
    <col width="10" customWidth="1" style="118" min="15618" max="15618"/>
    <col width="14.33203125" customWidth="1" style="118" min="15619" max="15619"/>
    <col width="8" customWidth="1" style="118" min="15620" max="15620"/>
    <col width="38" customWidth="1" style="118" min="15621" max="15621"/>
    <col width="48.1640625" customWidth="1" style="118" min="15622" max="15622"/>
    <col width="9" customWidth="1" style="118" min="15623" max="15872"/>
    <col width="28.1640625" customWidth="1" style="118" min="15873" max="15873"/>
    <col width="10" customWidth="1" style="118" min="15874" max="15874"/>
    <col width="14.33203125" customWidth="1" style="118" min="15875" max="15875"/>
    <col width="8" customWidth="1" style="118" min="15876" max="15876"/>
    <col width="38" customWidth="1" style="118" min="15877" max="15877"/>
    <col width="48.1640625" customWidth="1" style="118" min="15878" max="15878"/>
    <col width="9" customWidth="1" style="118" min="15879" max="16128"/>
    <col width="28.1640625" customWidth="1" style="118" min="16129" max="16129"/>
    <col width="10" customWidth="1" style="118" min="16130" max="16130"/>
    <col width="14.33203125" customWidth="1" style="118" min="16131" max="16131"/>
    <col width="8" customWidth="1" style="118" min="16132" max="16132"/>
    <col width="38" customWidth="1" style="118" min="16133" max="16133"/>
    <col width="48.1640625" customWidth="1" style="118" min="16134" max="16134"/>
    <col width="9" customWidth="1" style="118" min="16135" max="16384"/>
  </cols>
  <sheetData>
    <row r="2" ht="75.75" customFormat="1" customHeight="1" s="115">
      <c r="A2" s="113" t="n"/>
      <c r="B2" s="114" t="inlineStr">
        <is>
          <t>TEST REPORT DOCUMENT</t>
        </is>
      </c>
      <c r="C2" s="150" t="n"/>
      <c r="D2" s="150" t="n"/>
      <c r="E2" s="150" t="n"/>
      <c r="F2" s="151" t="n"/>
    </row>
    <row r="3">
      <c r="A3" s="116" t="n"/>
      <c r="B3" s="117" t="n"/>
      <c r="E3" s="119" t="n"/>
    </row>
    <row r="4" ht="14.25" customHeight="1">
      <c r="A4" s="120" t="inlineStr">
        <is>
          <t>Project Name</t>
        </is>
      </c>
      <c r="B4" s="121" t="inlineStr">
        <is>
          <t>Design and Evaluation of an AI Data Agent for Automated Data Analysis Using User-Provided Datasets</t>
        </is>
      </c>
      <c r="C4" s="150" t="n"/>
      <c r="D4" s="151" t="n"/>
      <c r="E4" s="120" t="inlineStr">
        <is>
          <t>Creator</t>
        </is>
      </c>
      <c r="F4" s="122" t="inlineStr">
        <is>
          <t>Ngô Thành Đạt</t>
        </is>
      </c>
    </row>
    <row r="5" ht="14.25" customHeight="1">
      <c r="A5" s="120" t="inlineStr">
        <is>
          <t>Project Code</t>
        </is>
      </c>
      <c r="B5" s="121" t="inlineStr">
        <is>
          <t>FA26SE115</t>
        </is>
      </c>
      <c r="C5" s="150" t="n"/>
      <c r="D5" s="151" t="n"/>
      <c r="E5" s="120" t="inlineStr">
        <is>
          <t>Issue Date</t>
        </is>
      </c>
      <c r="F5" s="152" t="n">
        <v>46325</v>
      </c>
    </row>
    <row r="6" ht="15.75" customHeight="1">
      <c r="A6" s="124" t="inlineStr">
        <is>
          <t>Document Code</t>
        </is>
      </c>
      <c r="B6" s="153" t="inlineStr">
        <is>
          <t>FA26SE115_SystemTestReport_v1.0</t>
        </is>
      </c>
      <c r="C6" s="150" t="n"/>
      <c r="D6" s="151" t="n"/>
      <c r="E6" s="120" t="inlineStr">
        <is>
          <t>Version</t>
        </is>
      </c>
      <c r="F6" s="128" t="inlineStr">
        <is>
          <t>v1.0</t>
        </is>
      </c>
    </row>
    <row r="7">
      <c r="A7" s="129" t="n"/>
      <c r="B7" s="130" t="n"/>
      <c r="E7" s="131" t="n"/>
      <c r="F7" s="117" t="n"/>
    </row>
    <row r="8">
      <c r="A8" s="118" t="n"/>
    </row>
    <row r="9">
      <c r="A9" s="132" t="inlineStr">
        <is>
          <t>Record of change</t>
        </is>
      </c>
    </row>
    <row r="10" customFormat="1" s="136">
      <c r="A10" s="133" t="inlineStr">
        <is>
          <t>Effective Date</t>
        </is>
      </c>
      <c r="B10" s="134" t="inlineStr">
        <is>
          <t>Version</t>
        </is>
      </c>
      <c r="C10" s="134" t="inlineStr">
        <is>
          <t>Change Item</t>
        </is>
      </c>
      <c r="D10" s="134" t="inlineStr">
        <is>
          <t>*A,D,M</t>
        </is>
      </c>
      <c r="E10" s="134" t="inlineStr">
        <is>
          <t>Change description</t>
        </is>
      </c>
      <c r="F10" s="135" t="inlineStr">
        <is>
          <t>Reference</t>
        </is>
      </c>
    </row>
    <row r="11" ht="26.25" customFormat="1" customHeight="1" s="142">
      <c r="A11" s="154" t="n">
        <v>46325</v>
      </c>
      <c r="B11" s="138" t="inlineStr">
        <is>
          <t>v1.0</t>
        </is>
      </c>
      <c r="C11" s="139" t="inlineStr">
        <is>
          <t>Initial system test report</t>
        </is>
      </c>
      <c r="D11" s="139" t="inlineStr">
        <is>
          <t>A</t>
        </is>
      </c>
      <c r="E11" s="140" t="inlineStr">
        <is>
          <t>Rounds 1-3 of 58 system test cases on the local stack</t>
        </is>
      </c>
      <c r="F11" s="141" t="inlineStr">
        <is>
          <t>Report III (SRS), Report V section 4.2, logos commit af201866</t>
        </is>
      </c>
    </row>
    <row r="12" ht="21.75" customFormat="1" customHeight="1" s="142">
      <c r="A12" s="143" t="n"/>
      <c r="B12" s="138" t="n"/>
      <c r="C12" s="139" t="n"/>
      <c r="D12" s="139" t="n"/>
      <c r="E12" s="139" t="n"/>
      <c r="F12" s="144" t="n"/>
    </row>
    <row r="13" ht="19.5" customFormat="1" customHeight="1" s="142">
      <c r="A13" s="143" t="n"/>
      <c r="B13" s="138" t="n"/>
      <c r="C13" s="139" t="n"/>
      <c r="D13" s="139" t="n"/>
      <c r="E13" s="139" t="n"/>
      <c r="F13" s="144" t="n"/>
    </row>
    <row r="14" ht="21.75" customFormat="1" customHeight="1" s="142">
      <c r="A14" s="143" t="n"/>
      <c r="B14" s="138" t="n"/>
      <c r="C14" s="139" t="n"/>
      <c r="D14" s="139" t="n"/>
      <c r="E14" s="139" t="n"/>
      <c r="F14" s="144" t="n"/>
    </row>
    <row r="15" ht="19.5" customFormat="1" customHeight="1" s="142">
      <c r="A15" s="143" t="n"/>
      <c r="B15" s="138" t="n"/>
      <c r="C15" s="139" t="n"/>
      <c r="D15" s="139" t="n"/>
      <c r="E15" s="139" t="n"/>
      <c r="F15" s="144" t="n"/>
    </row>
    <row r="16" ht="21.75" customFormat="1" customHeight="1" s="142">
      <c r="A16" s="143" t="n"/>
      <c r="B16" s="138" t="n"/>
      <c r="C16" s="139" t="n"/>
      <c r="D16" s="139" t="n"/>
      <c r="E16" s="139" t="n"/>
      <c r="F16" s="144" t="n"/>
    </row>
    <row r="17" ht="19.5" customFormat="1" customHeight="1" s="142">
      <c r="A17" s="145" t="n"/>
      <c r="B17" s="146" t="n"/>
      <c r="C17" s="147" t="n"/>
      <c r="D17" s="147" t="n"/>
      <c r="E17" s="147" t="n"/>
      <c r="F17" s="148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D13" sqref="D13"/>
    </sheetView>
  </sheetViews>
  <sheetFormatPr baseColWidth="10" defaultColWidth="9" defaultRowHeight="13"/>
  <cols>
    <col width="1.33203125" customWidth="1" style="61" min="1" max="1"/>
    <col width="11.83203125" customWidth="1" style="3" min="2" max="2"/>
    <col width="26.5" customWidth="1" style="4" min="3" max="3"/>
    <col width="17.1640625" customWidth="1" style="4" min="4" max="4"/>
    <col width="28.1640625" customWidth="1" style="4" min="5" max="5"/>
    <col width="30.6640625" customWidth="1" style="4" min="6" max="6"/>
    <col width="9" customWidth="1" style="61" min="7" max="16384"/>
  </cols>
  <sheetData>
    <row r="1" ht="25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04" t="inlineStr">
        <is>
          <t>Project Name</t>
        </is>
      </c>
      <c r="C3" s="150" t="n"/>
      <c r="D3" s="105">
        <f>Cover!B4</f>
        <v/>
      </c>
      <c r="E3" s="150" t="n"/>
      <c r="F3" s="151" t="n"/>
    </row>
    <row r="4">
      <c r="B4" s="104" t="inlineStr">
        <is>
          <t>Project Code</t>
        </is>
      </c>
      <c r="C4" s="150" t="n"/>
      <c r="D4" s="105">
        <f>Cover!B5</f>
        <v/>
      </c>
      <c r="E4" s="150" t="n"/>
      <c r="F4" s="151" t="n"/>
    </row>
    <row r="5" ht="84.75" customFormat="1" customHeight="1" s="33">
      <c r="B5" s="102" t="inlineStr">
        <is>
          <t>Test Environment Setup Description</t>
        </is>
      </c>
      <c r="C5" s="151" t="n"/>
      <c r="D5" s="103" t="inlineStr">
        <is>
          <t>1. Stack: docker compose (deploy/docker-compose.dev.yml), logos commit af201866: management API on localhost:8080, PostgreSQL 16, engines dataset, hypothesis, experiment-design, execution, paper, oversight.
2. Email: local log sender; sign-in codes are read from the management log.
3. Client: Python requests script (scripts/run_system_test.py) on macOS 15; Origin http://localhost:3000.
4. Accounts: a new Project Manager, Researcher and outsider per round; default Platform Admin admin@example.com.
5. Data: a 60-row CSV, the local PostgreSQL as an external source, a Slack webhook URL (not called).
6. LLM providers: none configured, so runs cannot start (cases marked Pending).</t>
        </is>
      </c>
      <c r="E5" s="150" t="n"/>
      <c r="F5" s="151" t="n"/>
    </row>
    <row r="6">
      <c r="B6" s="10" t="n"/>
      <c r="C6" s="61" t="n"/>
      <c r="D6" s="61" t="n"/>
      <c r="E6" s="61" t="n"/>
      <c r="F6" s="61" t="n"/>
    </row>
    <row r="7" customFormat="1" s="12">
      <c r="B7" s="13" t="n"/>
      <c r="C7" s="14" t="n"/>
      <c r="D7" s="14" t="n"/>
      <c r="E7" s="14" t="n"/>
      <c r="F7" s="14" t="n"/>
    </row>
    <row r="8" ht="21" customFormat="1" customHeight="1" s="15">
      <c r="B8" s="16" t="inlineStr">
        <is>
          <t>No</t>
        </is>
      </c>
      <c r="C8" s="17" t="inlineStr">
        <is>
          <t>Function Name</t>
        </is>
      </c>
      <c r="D8" s="17" t="inlineStr">
        <is>
          <t>Sheet Name</t>
        </is>
      </c>
      <c r="E8" s="18" t="inlineStr">
        <is>
          <t>Description</t>
        </is>
      </c>
      <c r="F8" s="19" t="inlineStr">
        <is>
          <t>Pre-Condition</t>
        </is>
      </c>
    </row>
    <row r="9" ht="14" customHeight="1">
      <c r="B9" s="20" t="n">
        <v>1</v>
      </c>
      <c r="C9" s="21" t="inlineStr">
        <is>
          <t>Sign in with email code</t>
        </is>
      </c>
      <c r="D9" s="101" t="inlineStr">
        <is>
          <t>Authentication &amp; Account</t>
        </is>
      </c>
      <c r="E9" s="22" t="inlineStr">
        <is>
          <t>Test cases of "Sign in with email code"</t>
        </is>
      </c>
      <c r="F9" s="23" t="inlineStr">
        <is>
          <t>Email address has no account</t>
        </is>
      </c>
    </row>
    <row r="10" ht="14" customHeight="1">
      <c r="B10" s="20" t="n">
        <v>2</v>
      </c>
      <c r="C10" s="21" t="inlineStr">
        <is>
          <t>Session</t>
        </is>
      </c>
      <c r="D10" s="101" t="inlineStr">
        <is>
          <t>Authentication &amp; Account</t>
        </is>
      </c>
      <c r="E10" s="22" t="inlineStr">
        <is>
          <t>Test cases of "Session"</t>
        </is>
      </c>
      <c r="F10" s="23" t="inlineStr">
        <is>
          <t>Not signed in</t>
        </is>
      </c>
    </row>
    <row r="11" ht="14" customHeight="1">
      <c r="B11" s="20" t="n">
        <v>3</v>
      </c>
      <c r="C11" s="21" t="inlineStr">
        <is>
          <t>Complete onboarding and update profile</t>
        </is>
      </c>
      <c r="D11" s="101" t="inlineStr">
        <is>
          <t>Authentication &amp; Account</t>
        </is>
      </c>
      <c r="E11" s="22" t="inlineStr">
        <is>
          <t>Test cases of "Complete onboarding and update profile"</t>
        </is>
      </c>
      <c r="F11" s="23" t="inlineStr">
        <is>
          <t>Signed in</t>
        </is>
      </c>
    </row>
    <row r="12" ht="14" customHeight="1">
      <c r="B12" s="20" t="n">
        <v>4</v>
      </c>
      <c r="C12" s="21" t="inlineStr">
        <is>
          <t>Sign out</t>
        </is>
      </c>
      <c r="D12" s="101" t="inlineStr">
        <is>
          <t>Authentication &amp; Account</t>
        </is>
      </c>
      <c r="E12" s="22" t="inlineStr">
        <is>
          <t>Test cases of "Sign out"</t>
        </is>
      </c>
      <c r="F12" s="23" t="inlineStr">
        <is>
          <t>Signed in</t>
        </is>
      </c>
    </row>
    <row r="13" ht="14" customHeight="1">
      <c r="B13" s="20" t="n">
        <v>5</v>
      </c>
      <c r="C13" s="21" t="inlineStr">
        <is>
          <t>Create project</t>
        </is>
      </c>
      <c r="D13" s="101" t="inlineStr">
        <is>
          <t>Project Workspace</t>
        </is>
      </c>
      <c r="E13" s="22" t="inlineStr">
        <is>
          <t>Test cases of "Create project"</t>
        </is>
      </c>
      <c r="F13" s="23" t="inlineStr">
        <is>
          <t>Signed in</t>
        </is>
      </c>
    </row>
    <row r="14">
      <c r="B14" s="20" t="n">
        <v>6</v>
      </c>
      <c r="C14" s="21" t="inlineStr">
        <is>
          <t>View project list and overview</t>
        </is>
      </c>
      <c r="D14" s="101" t="inlineStr">
        <is>
          <t>Project Workspace</t>
        </is>
      </c>
      <c r="E14" s="22" t="inlineStr">
        <is>
          <t>Test cases of "View project list and overview"</t>
        </is>
      </c>
      <c r="F14" s="23" t="inlineStr">
        <is>
          <t>Project exists</t>
        </is>
      </c>
    </row>
    <row r="15">
      <c r="B15" s="20" t="n">
        <v>7</v>
      </c>
      <c r="C15" s="21" t="inlineStr">
        <is>
          <t>Manage members and invitations</t>
        </is>
      </c>
      <c r="D15" s="101" t="inlineStr">
        <is>
          <t>Project Workspace</t>
        </is>
      </c>
      <c r="E15" s="22" t="inlineStr">
        <is>
          <t>Test cases of "Manage members and invitations"</t>
        </is>
      </c>
      <c r="F15" s="23" t="inlineStr">
        <is>
          <t>Signed in as Project Manager</t>
        </is>
      </c>
    </row>
    <row r="16">
      <c r="B16" s="20" t="n">
        <v>8</v>
      </c>
      <c r="C16" s="21" t="inlineStr">
        <is>
          <t>Accept or decline invitation</t>
        </is>
      </c>
      <c r="D16" s="101" t="inlineStr">
        <is>
          <t>Project Workspace</t>
        </is>
      </c>
      <c r="E16" s="22" t="inlineStr">
        <is>
          <t>Test cases of "Accept or decline invitation"</t>
        </is>
      </c>
      <c r="F16" s="23" t="inlineStr">
        <is>
          <t>Invitation pending</t>
        </is>
      </c>
    </row>
    <row r="17">
      <c r="B17" s="20" t="n">
        <v>9</v>
      </c>
      <c r="C17" s="21" t="inlineStr">
        <is>
          <t>Configure project settings</t>
        </is>
      </c>
      <c r="D17" s="101" t="inlineStr">
        <is>
          <t>Project Workspace</t>
        </is>
      </c>
      <c r="E17" s="22" t="inlineStr">
        <is>
          <t>Test cases of "Configure project settings"</t>
        </is>
      </c>
      <c r="F17" s="23" t="inlineStr">
        <is>
          <t>Signed in as Project Manager</t>
        </is>
      </c>
    </row>
    <row r="18">
      <c r="B18" s="20" t="n">
        <v>10</v>
      </c>
      <c r="C18" s="21" t="inlineStr">
        <is>
          <t>View project activity and audit log</t>
        </is>
      </c>
      <c r="D18" s="101" t="inlineStr">
        <is>
          <t>Project Workspace</t>
        </is>
      </c>
      <c r="E18" s="22" t="inlineStr">
        <is>
          <t>Test cases of "View project activity and audit log"</t>
        </is>
      </c>
      <c r="F18" s="23" t="inlineStr">
        <is>
          <t>Changes made</t>
        </is>
      </c>
    </row>
    <row r="19">
      <c r="B19" s="20" t="n">
        <v>11</v>
      </c>
      <c r="C19" s="21" t="inlineStr">
        <is>
          <t>Upload dataset</t>
        </is>
      </c>
      <c r="D19" s="101" t="inlineStr">
        <is>
          <t>Data Management</t>
        </is>
      </c>
      <c r="E19" s="22" t="inlineStr">
        <is>
          <t>Test cases of "Upload dataset"</t>
        </is>
      </c>
      <c r="F19" s="23" t="inlineStr">
        <is>
          <t>Signed in as Researcher</t>
        </is>
      </c>
    </row>
    <row r="20">
      <c r="B20" s="20" t="n">
        <v>12</v>
      </c>
      <c r="C20" s="21" t="inlineStr">
        <is>
          <t>Upload new dataset version</t>
        </is>
      </c>
      <c r="D20" s="101" t="inlineStr">
        <is>
          <t>Data Management</t>
        </is>
      </c>
      <c r="E20" s="22" t="inlineStr">
        <is>
          <t>Test cases of "Upload new dataset version"</t>
        </is>
      </c>
      <c r="F20" s="23" t="inlineStr">
        <is>
          <t>Dataset exists</t>
        </is>
      </c>
    </row>
    <row r="21">
      <c r="B21" s="20" t="n">
        <v>13</v>
      </c>
      <c r="C21" s="21" t="inlineStr">
        <is>
          <t>View dataset detail</t>
        </is>
      </c>
      <c r="D21" s="101" t="inlineStr">
        <is>
          <t>Data Management</t>
        </is>
      </c>
      <c r="E21" s="22" t="inlineStr">
        <is>
          <t>Test cases of "View dataset detail"</t>
        </is>
      </c>
      <c r="F21" s="23" t="inlineStr">
        <is>
          <t>Version exists</t>
        </is>
      </c>
    </row>
    <row r="22">
      <c r="B22" s="20" t="n">
        <v>14</v>
      </c>
      <c r="C22" s="21" t="inlineStr">
        <is>
          <t>Rename or delete dataset</t>
        </is>
      </c>
      <c r="D22" s="101" t="inlineStr">
        <is>
          <t>Data Management</t>
        </is>
      </c>
      <c r="E22" s="22" t="inlineStr">
        <is>
          <t>Test cases of "Rename or delete dataset"</t>
        </is>
      </c>
      <c r="F22" s="23" t="inlineStr">
        <is>
          <t>Dataset exists</t>
        </is>
      </c>
    </row>
    <row r="23">
      <c r="B23" s="20" t="n">
        <v>15</v>
      </c>
      <c r="C23" s="21" t="inlineStr">
        <is>
          <t>Manage data connection and import</t>
        </is>
      </c>
      <c r="D23" s="101" t="inlineStr">
        <is>
          <t>Data Connections &amp; Integrations</t>
        </is>
      </c>
      <c r="E23" s="22" t="inlineStr">
        <is>
          <t>Test cases of "Manage data connection and import"</t>
        </is>
      </c>
      <c r="F23" s="23" t="inlineStr">
        <is>
          <t>Project Manager; local PostgreSQL running</t>
        </is>
      </c>
    </row>
    <row r="24">
      <c r="B24" s="20" t="n">
        <v>16</v>
      </c>
      <c r="C24" s="21" t="inlineStr">
        <is>
          <t>Manage project integrations</t>
        </is>
      </c>
      <c r="D24" s="101" t="inlineStr">
        <is>
          <t>Data Connections &amp; Integrations</t>
        </is>
      </c>
      <c r="E24" s="22" t="inlineStr">
        <is>
          <t>Test cases of "Manage project integrations"</t>
        </is>
      </c>
      <c r="F24" s="23" t="inlineStr">
        <is>
          <t>Project Manager</t>
        </is>
      </c>
    </row>
    <row r="25">
      <c r="B25" s="20" t="n">
        <v>17</v>
      </c>
      <c r="C25" s="21" t="inlineStr">
        <is>
          <t>Pair a Local Node</t>
        </is>
      </c>
      <c r="D25" s="101" t="inlineStr">
        <is>
          <t>Local Node</t>
        </is>
      </c>
      <c r="E25" s="22" t="inlineStr">
        <is>
          <t>Test cases of "Pair a Local Node"</t>
        </is>
      </c>
      <c r="F25" s="23" t="inlineStr">
        <is>
          <t>Project Manager</t>
        </is>
      </c>
    </row>
    <row r="26">
      <c r="B26" s="20" t="n">
        <v>18</v>
      </c>
      <c r="C26" s="21" t="inlineStr">
        <is>
          <t>Start research run</t>
        </is>
      </c>
      <c r="D26" s="101" t="inlineStr">
        <is>
          <t>Research Run Orchestration</t>
        </is>
      </c>
      <c r="E26" s="22" t="inlineStr">
        <is>
          <t>Test cases of "Start research run"</t>
        </is>
      </c>
      <c r="F26" s="23" t="inlineStr">
        <is>
          <t>Researcher; dataset exists</t>
        </is>
      </c>
    </row>
    <row r="27">
      <c r="B27" s="20" t="n">
        <v>19</v>
      </c>
      <c r="C27" s="21" t="inlineStr">
        <is>
          <t>Monitor run in Run Studio</t>
        </is>
      </c>
      <c r="D27" s="101" t="inlineStr">
        <is>
          <t>Research Run Orchestration</t>
        </is>
      </c>
      <c r="E27" s="22" t="inlineStr">
        <is>
          <t>Test cases of "Monitor run in Run Studio"</t>
        </is>
      </c>
      <c r="F27" s="23" t="inlineStr">
        <is>
          <t>Run exists</t>
        </is>
      </c>
    </row>
    <row r="28">
      <c r="B28" s="20" t="n">
        <v>20</v>
      </c>
      <c r="C28" s="21" t="inlineStr">
        <is>
          <t>Answer gate</t>
        </is>
      </c>
      <c r="D28" s="101" t="inlineStr">
        <is>
          <t>Research Run Orchestration</t>
        </is>
      </c>
      <c r="E28" s="22" t="inlineStr">
        <is>
          <t>Test cases of "Answer gate"</t>
        </is>
      </c>
      <c r="F28" s="23" t="inlineStr">
        <is>
          <t>Stage waits at a gate</t>
        </is>
      </c>
    </row>
    <row r="29">
      <c r="B29" s="20" t="n">
        <v>21</v>
      </c>
      <c r="C29" s="21" t="inlineStr">
        <is>
          <t>Accept, send back or rerun stage</t>
        </is>
      </c>
      <c r="D29" s="101" t="inlineStr">
        <is>
          <t>Research Run Orchestration</t>
        </is>
      </c>
      <c r="E29" s="22" t="inlineStr">
        <is>
          <t>Test cases of "Accept, send back or rerun stage"</t>
        </is>
      </c>
      <c r="F29" s="23" t="inlineStr">
        <is>
          <t>Stage completed</t>
        </is>
      </c>
    </row>
    <row r="30">
      <c r="B30" s="20" t="n">
        <v>22</v>
      </c>
      <c r="C30" s="21" t="inlineStr">
        <is>
          <t>Amend a research case</t>
        </is>
      </c>
      <c r="D30" s="101" t="inlineStr">
        <is>
          <t>Research Run Orchestration</t>
        </is>
      </c>
      <c r="E30" s="22" t="inlineStr">
        <is>
          <t>Test cases of "Amend a research case"</t>
        </is>
      </c>
      <c r="F30" s="23" t="inlineStr">
        <is>
          <t>Run exists</t>
        </is>
      </c>
    </row>
    <row r="31">
      <c r="B31" s="20" t="n">
        <v>23</v>
      </c>
      <c r="C31" s="21" t="inlineStr">
        <is>
          <t>Comment on run</t>
        </is>
      </c>
      <c r="D31" s="101" t="inlineStr">
        <is>
          <t>Research Run Orchestration</t>
        </is>
      </c>
      <c r="E31" s="22" t="inlineStr">
        <is>
          <t>Test cases of "Comment on run"</t>
        </is>
      </c>
      <c r="F31" s="23" t="inlineStr">
        <is>
          <t>Run exists</t>
        </is>
      </c>
    </row>
    <row r="32">
      <c r="B32" s="20" t="n">
        <v>24</v>
      </c>
      <c r="C32" s="21" t="inlineStr">
        <is>
          <t>Pause, resume, stop run</t>
        </is>
      </c>
      <c r="D32" s="101" t="inlineStr">
        <is>
          <t>Research Run Orchestration</t>
        </is>
      </c>
      <c r="E32" s="22" t="inlineStr">
        <is>
          <t>Test cases of "Pause, resume, stop run"</t>
        </is>
      </c>
      <c r="F32" s="23" t="inlineStr">
        <is>
          <t>Run active</t>
        </is>
      </c>
    </row>
    <row r="33">
      <c r="B33" s="20" t="n">
        <v>25</v>
      </c>
      <c r="C33" s="21" t="inlineStr">
        <is>
          <t>Download and compare artifacts</t>
        </is>
      </c>
      <c r="D33" s="101" t="inlineStr">
        <is>
          <t>Research Run Orchestration</t>
        </is>
      </c>
      <c r="E33" s="22" t="inlineStr">
        <is>
          <t>Test cases of "Download and compare artifacts"</t>
        </is>
      </c>
      <c r="F33" s="23" t="inlineStr">
        <is>
          <t>Run ended</t>
        </is>
      </c>
    </row>
    <row r="34">
      <c r="B34" s="20" t="n">
        <v>26</v>
      </c>
      <c r="C34" s="21" t="inlineStr">
        <is>
          <t>Notification preferences</t>
        </is>
      </c>
      <c r="D34" s="101" t="inlineStr">
        <is>
          <t>Notifications</t>
        </is>
      </c>
      <c r="E34" s="22" t="inlineStr">
        <is>
          <t>Test cases of "Notification preferences"</t>
        </is>
      </c>
      <c r="F34" s="23" t="inlineStr">
        <is>
          <t>Member of the project</t>
        </is>
      </c>
    </row>
    <row r="35">
      <c r="B35" s="20" t="n">
        <v>27</v>
      </c>
      <c r="C35" s="21" t="inlineStr">
        <is>
          <t>View notifications</t>
        </is>
      </c>
      <c r="D35" s="101" t="inlineStr">
        <is>
          <t>Notifications</t>
        </is>
      </c>
      <c r="E35" s="22" t="inlineStr">
        <is>
          <t>Test cases of "View notifications"</t>
        </is>
      </c>
      <c r="F35" s="23" t="inlineStr">
        <is>
          <t>Signed in</t>
        </is>
      </c>
    </row>
    <row r="36">
      <c r="B36" s="20" t="n">
        <v>28</v>
      </c>
      <c r="C36" s="21" t="inlineStr">
        <is>
          <t>Review health and operating metrics</t>
        </is>
      </c>
      <c r="D36" s="101" t="inlineStr">
        <is>
          <t>Administration</t>
        </is>
      </c>
      <c r="E36" s="22" t="inlineStr">
        <is>
          <t>Test cases of "Review health and operating metrics"</t>
        </is>
      </c>
      <c r="F36" s="23" t="inlineStr">
        <is>
          <t>Default admin account</t>
        </is>
      </c>
    </row>
    <row r="37">
      <c r="B37" s="20" t="n">
        <v>29</v>
      </c>
      <c r="C37" s="21" t="inlineStr">
        <is>
          <t>View project metadata</t>
        </is>
      </c>
      <c r="D37" s="101" t="inlineStr">
        <is>
          <t>Administration</t>
        </is>
      </c>
      <c r="E37" s="22" t="inlineStr">
        <is>
          <t>Test cases of "View project metadata"</t>
        </is>
      </c>
      <c r="F37" s="23" t="inlineStr">
        <is>
          <t>Admin is not a member</t>
        </is>
      </c>
    </row>
    <row r="38">
      <c r="B38" s="20" t="n">
        <v>30</v>
      </c>
      <c r="C38" s="21" t="inlineStr">
        <is>
          <t>Manage platform settings</t>
        </is>
      </c>
      <c r="D38" s="101" t="inlineStr">
        <is>
          <t>Administration</t>
        </is>
      </c>
      <c r="E38" s="22" t="inlineStr">
        <is>
          <t>Test cases of "Manage platform settings"</t>
        </is>
      </c>
      <c r="F38" s="23" t="inlineStr">
        <is>
          <t>Signed in as admin</t>
        </is>
      </c>
    </row>
    <row r="39">
      <c r="B39" s="20" t="n">
        <v>31</v>
      </c>
      <c r="C39" s="21" t="inlineStr">
        <is>
          <t>Update, archive, complete project</t>
        </is>
      </c>
      <c r="D39" s="101" t="inlineStr">
        <is>
          <t>Project Workspace</t>
        </is>
      </c>
      <c r="E39" s="22" t="inlineStr">
        <is>
          <t>Test cases of "Update, archive, complete project"</t>
        </is>
      </c>
      <c r="F39" s="23" t="inlineStr">
        <is>
          <t>Project Manager</t>
        </is>
      </c>
    </row>
    <row r="40">
      <c r="B40" s="20" t="n">
        <v>32</v>
      </c>
      <c r="C40" s="21" t="inlineStr">
        <is>
          <t>Transfer ownership</t>
        </is>
      </c>
      <c r="D40" s="101" t="inlineStr">
        <is>
          <t>Project Workspace</t>
        </is>
      </c>
      <c r="E40" s="22" t="inlineStr">
        <is>
          <t>Test cases of "Transfer ownership"</t>
        </is>
      </c>
      <c r="F40" s="23" t="inlineStr">
        <is>
          <t>Researcher is an active member</t>
        </is>
      </c>
    </row>
    <row r="41">
      <c r="B41" s="20" t="n">
        <v>33</v>
      </c>
      <c r="C41" s="21" t="inlineStr">
        <is>
          <t>Delete project</t>
        </is>
      </c>
      <c r="D41" s="101" t="inlineStr">
        <is>
          <t>Project Workspace</t>
        </is>
      </c>
      <c r="E41" s="22" t="inlineStr">
        <is>
          <t>Test cases of "Delete project"</t>
        </is>
      </c>
      <c r="F41" s="23" t="inlineStr">
        <is>
          <t>Caller is owner</t>
        </is>
      </c>
    </row>
  </sheetData>
  <mergeCells count="6">
    <mergeCell ref="D5:F5"/>
    <mergeCell ref="B3:C3"/>
    <mergeCell ref="B5:C5"/>
    <mergeCell ref="D4:F4"/>
    <mergeCell ref="D3:F3"/>
    <mergeCell ref="B4:C4"/>
  </mergeCells>
  <hyperlinks>
    <hyperlink xmlns:r="http://schemas.openxmlformats.org/officeDocument/2006/relationships" ref="D9" r:id="rId1"/>
    <hyperlink xmlns:r="http://schemas.openxmlformats.org/officeDocument/2006/relationships" ref="D10" r:id="rId2"/>
    <hyperlink xmlns:r="http://schemas.openxmlformats.org/officeDocument/2006/relationships" ref="D11" r:id="rId3"/>
    <hyperlink xmlns:r="http://schemas.openxmlformats.org/officeDocument/2006/relationships" ref="D12" r:id="rId4"/>
    <hyperlink xmlns:r="http://schemas.openxmlformats.org/officeDocument/2006/relationships" ref="D13" r:id="rId5"/>
    <hyperlink xmlns:r="http://schemas.openxmlformats.org/officeDocument/2006/relationships" ref="D14" r:id="rId6"/>
    <hyperlink xmlns:r="http://schemas.openxmlformats.org/officeDocument/2006/relationships" ref="D15" r:id="rId7"/>
    <hyperlink xmlns:r="http://schemas.openxmlformats.org/officeDocument/2006/relationships" ref="D16" r:id="rId8"/>
    <hyperlink xmlns:r="http://schemas.openxmlformats.org/officeDocument/2006/relationships" ref="D17" r:id="rId9"/>
    <hyperlink xmlns:r="http://schemas.openxmlformats.org/officeDocument/2006/relationships" ref="D18" r:id="rId10"/>
    <hyperlink xmlns:r="http://schemas.openxmlformats.org/officeDocument/2006/relationships" ref="D19" r:id="rId11"/>
    <hyperlink xmlns:r="http://schemas.openxmlformats.org/officeDocument/2006/relationships" ref="D20" r:id="rId12"/>
    <hyperlink xmlns:r="http://schemas.openxmlformats.org/officeDocument/2006/relationships" ref="D21" r:id="rId13"/>
    <hyperlink xmlns:r="http://schemas.openxmlformats.org/officeDocument/2006/relationships" ref="D22" r:id="rId14"/>
    <hyperlink xmlns:r="http://schemas.openxmlformats.org/officeDocument/2006/relationships" ref="D23" r:id="rId15"/>
    <hyperlink xmlns:r="http://schemas.openxmlformats.org/officeDocument/2006/relationships" ref="D24" r:id="rId16"/>
    <hyperlink xmlns:r="http://schemas.openxmlformats.org/officeDocument/2006/relationships" ref="D25" r:id="rId17"/>
    <hyperlink xmlns:r="http://schemas.openxmlformats.org/officeDocument/2006/relationships" ref="D26" r:id="rId18"/>
    <hyperlink xmlns:r="http://schemas.openxmlformats.org/officeDocument/2006/relationships" ref="D27" r:id="rId19"/>
    <hyperlink xmlns:r="http://schemas.openxmlformats.org/officeDocument/2006/relationships" ref="D28" r:id="rId20"/>
    <hyperlink xmlns:r="http://schemas.openxmlformats.org/officeDocument/2006/relationships" ref="D29" r:id="rId21"/>
    <hyperlink xmlns:r="http://schemas.openxmlformats.org/officeDocument/2006/relationships" ref="D30" r:id="rId22"/>
    <hyperlink xmlns:r="http://schemas.openxmlformats.org/officeDocument/2006/relationships" ref="D31" r:id="rId23"/>
    <hyperlink xmlns:r="http://schemas.openxmlformats.org/officeDocument/2006/relationships" ref="D32" r:id="rId24"/>
    <hyperlink xmlns:r="http://schemas.openxmlformats.org/officeDocument/2006/relationships" ref="D33" r:id="rId25"/>
    <hyperlink xmlns:r="http://schemas.openxmlformats.org/officeDocument/2006/relationships" ref="D34" r:id="rId26"/>
    <hyperlink xmlns:r="http://schemas.openxmlformats.org/officeDocument/2006/relationships" ref="D35" r:id="rId27"/>
    <hyperlink xmlns:r="http://schemas.openxmlformats.org/officeDocument/2006/relationships" ref="D36" r:id="rId28"/>
    <hyperlink xmlns:r="http://schemas.openxmlformats.org/officeDocument/2006/relationships" ref="D37" r:id="rId29"/>
    <hyperlink xmlns:r="http://schemas.openxmlformats.org/officeDocument/2006/relationships" ref="D38" r:id="rId30"/>
    <hyperlink xmlns:r="http://schemas.openxmlformats.org/officeDocument/2006/relationships" ref="D39" r:id="rId31"/>
    <hyperlink xmlns:r="http://schemas.openxmlformats.org/officeDocument/2006/relationships" ref="D40" r:id="rId32"/>
    <hyperlink xmlns:r="http://schemas.openxmlformats.org/officeDocument/2006/relationships" ref="D41" r:id="rId33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B2" sqref="B2"/>
    </sheetView>
  </sheetViews>
  <sheetFormatPr baseColWidth="10" defaultColWidth="9" defaultRowHeight="13"/>
  <cols>
    <col width="4.5" customWidth="1" style="61" min="1" max="1"/>
    <col width="18.33203125" customWidth="1" style="61" min="2" max="2"/>
    <col width="19.33203125" customWidth="1" style="61" min="3" max="3"/>
    <col width="11.6640625" customWidth="1" style="61" min="4" max="6"/>
    <col width="9" customWidth="1" style="61" min="7" max="7"/>
    <col width="35.5" customWidth="1" style="61" min="8" max="8"/>
    <col width="33.1640625" customWidth="1" style="61" min="9" max="9"/>
    <col width="9" customWidth="1" style="61" min="10" max="16384"/>
  </cols>
  <sheetData>
    <row r="1" ht="25.5" customHeight="1">
      <c r="B1" s="108" t="inlineStr">
        <is>
          <t>TEST STATISTICS</t>
        </is>
      </c>
    </row>
    <row r="2" ht="14.25" customHeight="1">
      <c r="A2" s="52" t="n"/>
      <c r="B2" s="52" t="n"/>
      <c r="C2" s="53" t="n"/>
      <c r="D2" s="53" t="n"/>
      <c r="E2" s="53" t="n"/>
      <c r="F2" s="53" t="n"/>
      <c r="G2" s="53" t="n"/>
      <c r="H2" s="54" t="n"/>
    </row>
    <row r="3" ht="12" customHeight="1">
      <c r="B3" s="2" t="inlineStr">
        <is>
          <t>Project Name</t>
        </is>
      </c>
      <c r="C3" s="105" t="inlineStr">
        <is>
          <t>Design and Evaluation of an AI Data Agent for Automated Data Analysis Using User-Provided Datasets</t>
        </is>
      </c>
      <c r="D3" s="151" t="n"/>
      <c r="E3" s="106" t="inlineStr">
        <is>
          <t>Creator</t>
        </is>
      </c>
      <c r="F3" s="151" t="n"/>
      <c r="G3" s="55" t="inlineStr">
        <is>
          <t>Ngô Thành Đạt</t>
        </is>
      </c>
      <c r="H3" s="56" t="n"/>
    </row>
    <row r="4" ht="12" customHeight="1">
      <c r="B4" s="2" t="inlineStr">
        <is>
          <t>Project Code</t>
        </is>
      </c>
      <c r="C4" s="105" t="inlineStr">
        <is>
          <t>FA26SE115</t>
        </is>
      </c>
      <c r="D4" s="151" t="n"/>
      <c r="E4" s="106" t="inlineStr">
        <is>
          <t>Reviewer/Approver</t>
        </is>
      </c>
      <c r="F4" s="151" t="n"/>
      <c r="G4" s="55" t="n"/>
      <c r="H4" s="56" t="n"/>
    </row>
    <row r="5" ht="12" customHeight="1">
      <c r="B5" s="57" t="inlineStr">
        <is>
          <t>Document Code</t>
        </is>
      </c>
      <c r="C5" s="105" t="inlineStr">
        <is>
          <t>FA26SE115_SystemTestReport_v1.0</t>
        </is>
      </c>
      <c r="D5" s="151" t="n"/>
      <c r="E5" s="106" t="inlineStr">
        <is>
          <t>Issue Date</t>
        </is>
      </c>
      <c r="F5" s="151" t="n"/>
      <c r="G5" s="55" t="n"/>
      <c r="H5" s="155" t="n">
        <v>46325</v>
      </c>
    </row>
    <row r="6" ht="21.75" customHeight="1">
      <c r="A6" s="52" t="n"/>
      <c r="B6" s="57" t="inlineStr">
        <is>
          <t>Notes</t>
        </is>
      </c>
      <c r="C6" s="107" t="inlineStr">
        <is>
          <t>Figures of round 3 on the local stack. Research Run cases that need an LLM provider are Pending.</t>
        </is>
      </c>
      <c r="D6" s="150" t="n"/>
      <c r="E6" s="150" t="n"/>
      <c r="F6" s="150" t="n"/>
      <c r="G6" s="150" t="n"/>
      <c r="H6" s="151" t="n"/>
    </row>
    <row r="7" ht="14.25" customHeight="1">
      <c r="A7" s="52" t="n"/>
      <c r="B7" s="59" t="n"/>
      <c r="C7" s="60" t="n"/>
      <c r="D7" s="53" t="n"/>
      <c r="E7" s="53" t="n"/>
      <c r="F7" s="53" t="n"/>
      <c r="G7" s="53" t="n"/>
      <c r="H7" s="54" t="n"/>
    </row>
    <row r="8">
      <c r="B8" s="59" t="n"/>
      <c r="C8" s="60" t="n"/>
      <c r="D8" s="53" t="n"/>
      <c r="E8" s="53" t="n"/>
      <c r="F8" s="53" t="n"/>
      <c r="G8" s="53" t="n"/>
      <c r="H8" s="54" t="n"/>
    </row>
    <row r="9">
      <c r="A9" s="61" t="n"/>
      <c r="B9" s="61" t="n"/>
      <c r="C9" s="61" t="n"/>
      <c r="D9" s="61" t="n"/>
      <c r="E9" s="61" t="n"/>
      <c r="F9" s="61" t="n"/>
      <c r="G9" s="61" t="n"/>
      <c r="H9" s="61" t="n"/>
    </row>
    <row r="10" ht="14" customHeight="1">
      <c r="A10" s="68" t="n"/>
      <c r="B10" s="63" t="inlineStr">
        <is>
          <t>No</t>
        </is>
      </c>
      <c r="C10" s="64" t="inlineStr">
        <is>
          <t>Module code</t>
        </is>
      </c>
      <c r="D10" s="65" t="inlineStr">
        <is>
          <t>Passed</t>
        </is>
      </c>
      <c r="E10" s="64" t="inlineStr">
        <is>
          <t>Failed</t>
        </is>
      </c>
      <c r="F10" s="64" t="inlineStr">
        <is>
          <t>Pending</t>
        </is>
      </c>
      <c r="G10" s="66" t="inlineStr">
        <is>
          <t>N/A</t>
        </is>
      </c>
      <c r="H10" s="67" t="inlineStr">
        <is>
          <t>Number of  test cases</t>
        </is>
      </c>
    </row>
    <row r="11">
      <c r="A11" s="68" t="n"/>
      <c r="B11" s="69" t="n">
        <v>1</v>
      </c>
      <c r="C11" s="70">
        <f>'Authentication &amp; Account'!B2</f>
        <v/>
      </c>
      <c r="D11" s="71">
        <f>'Authentication &amp; Account'!B8</f>
        <v/>
      </c>
      <c r="E11" s="71">
        <f>'Authentication &amp; Account'!C8</f>
        <v/>
      </c>
      <c r="F11" s="71">
        <f>'Authentication &amp; Account'!D8</f>
        <v/>
      </c>
      <c r="G11" s="71">
        <f>'Authentication &amp; Account'!E8</f>
        <v/>
      </c>
      <c r="H11" s="73">
        <f>'Authentication &amp; Account'!B4</f>
        <v/>
      </c>
    </row>
    <row r="12">
      <c r="A12" s="68" t="n"/>
      <c r="B12" s="69" t="n">
        <v>2</v>
      </c>
      <c r="C12" s="70">
        <f>'Project Workspace'!B2</f>
        <v/>
      </c>
      <c r="D12" s="71">
        <f>'Project Workspace'!B8</f>
        <v/>
      </c>
      <c r="E12" s="71">
        <f>'Project Workspace'!C8</f>
        <v/>
      </c>
      <c r="F12" s="71">
        <f>'Project Workspace'!D8</f>
        <v/>
      </c>
      <c r="G12" s="71">
        <f>'Project Workspace'!E8</f>
        <v/>
      </c>
      <c r="H12" s="73">
        <f>'Project Workspace'!B4</f>
        <v/>
      </c>
    </row>
    <row r="13">
      <c r="A13" s="68" t="n"/>
      <c r="B13" s="69" t="n">
        <v>3</v>
      </c>
      <c r="C13" s="70">
        <f>'Data Management'!B2</f>
        <v/>
      </c>
      <c r="D13" s="71">
        <f>'Data Management'!B8</f>
        <v/>
      </c>
      <c r="E13" s="71">
        <f>'Data Management'!C8</f>
        <v/>
      </c>
      <c r="F13" s="71">
        <f>'Data Management'!D8</f>
        <v/>
      </c>
      <c r="G13" s="71">
        <f>'Data Management'!E8</f>
        <v/>
      </c>
      <c r="H13" s="73">
        <f>'Data Management'!B4</f>
        <v/>
      </c>
    </row>
    <row r="14">
      <c r="A14" s="68" t="n"/>
      <c r="B14" s="69" t="n">
        <v>4</v>
      </c>
      <c r="C14" s="70">
        <f>'Data Connections &amp; Integrations'!B2</f>
        <v/>
      </c>
      <c r="D14" s="71">
        <f>'Data Connections &amp; Integrations'!B8</f>
        <v/>
      </c>
      <c r="E14" s="71">
        <f>'Data Connections &amp; Integrations'!C8</f>
        <v/>
      </c>
      <c r="F14" s="71">
        <f>'Data Connections &amp; Integrations'!D8</f>
        <v/>
      </c>
      <c r="G14" s="71">
        <f>'Data Connections &amp; Integrations'!E8</f>
        <v/>
      </c>
      <c r="H14" s="73">
        <f>'Data Connections &amp; Integrations'!B4</f>
        <v/>
      </c>
    </row>
    <row r="15">
      <c r="A15" s="61" t="n"/>
      <c r="B15" s="69" t="n">
        <v>5</v>
      </c>
      <c r="C15" s="70">
        <f>'Local Node'!B2</f>
        <v/>
      </c>
      <c r="D15" s="71">
        <f>'Local Node'!B8</f>
        <v/>
      </c>
      <c r="E15" s="71">
        <f>'Local Node'!C8</f>
        <v/>
      </c>
      <c r="F15" s="71">
        <f>'Local Node'!D8</f>
        <v/>
      </c>
      <c r="G15" s="71">
        <f>'Local Node'!E8</f>
        <v/>
      </c>
      <c r="H15" s="73">
        <f>'Local Node'!B4</f>
        <v/>
      </c>
    </row>
    <row r="16">
      <c r="A16" s="61" t="n"/>
      <c r="B16" s="69" t="n">
        <v>6</v>
      </c>
      <c r="C16" s="70">
        <f>'Research Run Orchestration'!B2</f>
        <v/>
      </c>
      <c r="D16" s="71">
        <f>'Research Run Orchestration'!B8</f>
        <v/>
      </c>
      <c r="E16" s="71">
        <f>'Research Run Orchestration'!C8</f>
        <v/>
      </c>
      <c r="F16" s="71">
        <f>'Research Run Orchestration'!D8</f>
        <v/>
      </c>
      <c r="G16" s="71">
        <f>'Research Run Orchestration'!E8</f>
        <v/>
      </c>
      <c r="H16" s="73">
        <f>'Research Run Orchestration'!B4</f>
        <v/>
      </c>
    </row>
    <row r="17">
      <c r="A17" s="61" t="n"/>
      <c r="B17" s="69" t="n">
        <v>7</v>
      </c>
      <c r="C17" s="70">
        <f>'Notifications'!B2</f>
        <v/>
      </c>
      <c r="D17" s="71">
        <f>'Notifications'!B8</f>
        <v/>
      </c>
      <c r="E17" s="71">
        <f>'Notifications'!C8</f>
        <v/>
      </c>
      <c r="F17" s="71">
        <f>'Notifications'!D8</f>
        <v/>
      </c>
      <c r="G17" s="71">
        <f>'Notifications'!E8</f>
        <v/>
      </c>
      <c r="H17" s="73">
        <f>'Notifications'!B4</f>
        <v/>
      </c>
    </row>
    <row r="18">
      <c r="B18" s="69" t="n">
        <v>8</v>
      </c>
      <c r="C18" s="70">
        <f>'Administration'!B2</f>
        <v/>
      </c>
      <c r="D18" s="71">
        <f>'Administration'!B8</f>
        <v/>
      </c>
      <c r="E18" s="71">
        <f>'Administration'!C8</f>
        <v/>
      </c>
      <c r="F18" s="71">
        <f>'Administration'!D8</f>
        <v/>
      </c>
      <c r="G18" s="71">
        <f>'Administration'!E8</f>
        <v/>
      </c>
      <c r="H18" s="73">
        <f>'Administration'!B4</f>
        <v/>
      </c>
    </row>
    <row r="20">
      <c r="C20" t="inlineStr">
        <is>
          <t>Sub total</t>
        </is>
      </c>
      <c r="D20">
        <f>SUM(D11:D18)</f>
        <v/>
      </c>
      <c r="E20">
        <f>SUM(E11:E18)</f>
        <v/>
      </c>
      <c r="F20">
        <f>SUM(F11:F18)</f>
        <v/>
      </c>
      <c r="G20">
        <f>SUM(G11:G18)</f>
        <v/>
      </c>
      <c r="H20">
        <f>SUM(H11:H18)</f>
        <v/>
      </c>
    </row>
    <row r="22">
      <c r="C22" t="inlineStr">
        <is>
          <t>Test coverage</t>
        </is>
      </c>
      <c r="E22" s="156">
        <f>(D20+E20)*100/(H20-G20)</f>
        <v/>
      </c>
      <c r="F22" t="inlineStr">
        <is>
          <t>%</t>
        </is>
      </c>
    </row>
    <row r="23">
      <c r="C23" t="inlineStr">
        <is>
          <t>Test successful coverage</t>
        </is>
      </c>
      <c r="E23" s="156">
        <f>D20*100/(H20-G20)</f>
        <v/>
      </c>
      <c r="F23" t="inlineStr">
        <is>
          <t>%</t>
        </is>
      </c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R22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48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Authentication &amp; Account</t>
        </is>
      </c>
      <c r="C2" s="157" t="n"/>
      <c r="D2" s="157" t="n"/>
      <c r="E2" s="158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Email-code sign-in, session, profile and sign-out (FE-01; UC-01).</t>
        </is>
      </c>
      <c r="C3" s="159" t="n"/>
      <c r="D3" s="159" t="n"/>
      <c r="E3" s="160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COUNTIF(A12:A22,"ST-*")</f>
        <v/>
      </c>
      <c r="C4" s="159" t="n"/>
      <c r="D4" s="159" t="n"/>
      <c r="E4" s="160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COUNTIF($F$12:$F$22,B$5)</f>
        <v/>
      </c>
      <c r="C6" s="92">
        <f>COUNTIF($F$12:$F$22,C$5)</f>
        <v/>
      </c>
      <c r="D6" s="92">
        <f>COUNTIF($F$12:$F$22,D$5)</f>
        <v/>
      </c>
      <c r="E6" s="98">
        <f>COUNTIF($F$12:$F$22,E$5)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COUNTIF($I$12:$I$22,B$5)</f>
        <v/>
      </c>
      <c r="C7" s="92">
        <f>COUNTIF($I$12:$I$22,C$5)</f>
        <v/>
      </c>
      <c r="D7" s="92">
        <f>COUNTIF($I$12:$I$22,D$5)</f>
        <v/>
      </c>
      <c r="E7" s="98">
        <f>COUNTIF($I$12:$I$22,E$5)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COUNTIF($L$12:$L$22,B$5)</f>
        <v/>
      </c>
      <c r="C8" s="96">
        <f>COUNTIF($L$12:$L$22,C$5)</f>
        <v/>
      </c>
      <c r="D8" s="96">
        <f>COUNTIF($L$12:$L$22,D$5)</f>
        <v/>
      </c>
      <c r="E8" s="97">
        <f>COUNTIF($L$12:$L$22,E$5)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customFormat="1" s="32">
      <c r="A11" s="161" t="inlineStr">
        <is>
          <t>Sign in with email code</t>
        </is>
      </c>
      <c r="B11" s="161" t="n"/>
      <c r="C11" s="161" t="n"/>
      <c r="D11" s="161" t="n"/>
      <c r="E11" s="161" t="n"/>
      <c r="F11" s="161" t="n"/>
      <c r="G11" s="161" t="n"/>
      <c r="H11" s="161" t="n"/>
      <c r="I11" s="161" t="n"/>
      <c r="J11" s="161" t="n"/>
      <c r="K11" s="161" t="n"/>
      <c r="L11" s="161" t="n"/>
      <c r="M11" s="161" t="n"/>
      <c r="N11" s="161" t="n"/>
      <c r="O11" s="161" t="n"/>
      <c r="Q11" s="41" t="n"/>
    </row>
    <row r="12" outlineLevel="1" customFormat="1" s="47">
      <c r="A12" s="42" t="inlineStr">
        <is>
          <t>ST-AUTH-01</t>
        </is>
      </c>
      <c r="B12" s="42" t="inlineStr">
        <is>
          <t>Start sign-in for a new email address</t>
        </is>
      </c>
      <c r="C12" s="42" t="inlineStr">
        <is>
          <t>1. POST /auth/email/start with a new email</t>
        </is>
      </c>
      <c r="D12" s="42" t="inlineStr">
        <is>
          <t>Answer 200; a 6-digit code and link are emailed</t>
        </is>
      </c>
      <c r="E12" s="42" t="inlineStr">
        <is>
          <t>Email address has no account</t>
        </is>
      </c>
      <c r="F12" s="42" t="inlineStr">
        <is>
          <t>Passed</t>
        </is>
      </c>
      <c r="G12" s="162" t="n">
        <v>46325</v>
      </c>
      <c r="H12" s="42" t="inlineStr">
        <is>
          <t>Ngô Thành Đạt</t>
        </is>
      </c>
      <c r="I12" s="42" t="inlineStr">
        <is>
          <t>Passed</t>
        </is>
      </c>
      <c r="J12" s="162" t="n">
        <v>46325</v>
      </c>
      <c r="K12" s="42" t="inlineStr">
        <is>
          <t>Ngô Thành Đạt</t>
        </is>
      </c>
      <c r="L12" s="42" t="inlineStr">
        <is>
          <t>Passed</t>
        </is>
      </c>
      <c r="M12" s="162" t="n">
        <v>46325</v>
      </c>
      <c r="N12" s="42" t="inlineStr">
        <is>
          <t>Ngô Thành Đạt</t>
        </is>
      </c>
      <c r="O12" s="42" t="inlineStr">
        <is>
          <t>HTTP 200, code found in mail log</t>
        </is>
      </c>
      <c r="Q12" s="46" t="n"/>
    </row>
    <row r="13" outlineLevel="1">
      <c r="A13" s="42" t="inlineStr">
        <is>
          <t>ST-AUTH-02</t>
        </is>
      </c>
      <c r="B13" s="42" t="inlineStr">
        <is>
          <t>Sign in with a wrong code</t>
        </is>
      </c>
      <c r="C13" s="42" t="inlineStr">
        <is>
          <t>1. POST /auth/email/verify with code 000000</t>
        </is>
      </c>
      <c r="D13" s="42" t="inlineStr">
        <is>
          <t>Request refused; no session</t>
        </is>
      </c>
      <c r="E13" s="42" t="inlineStr">
        <is>
          <t>Sign-in started</t>
        </is>
      </c>
      <c r="F13" s="42" t="inlineStr">
        <is>
          <t>Passed</t>
        </is>
      </c>
      <c r="G13" s="162" t="n">
        <v>46325</v>
      </c>
      <c r="H13" s="42" t="inlineStr">
        <is>
          <t>Ngô Thành Đạt</t>
        </is>
      </c>
      <c r="I13" s="42" t="inlineStr">
        <is>
          <t>Passed</t>
        </is>
      </c>
      <c r="J13" s="162" t="n">
        <v>46325</v>
      </c>
      <c r="K13" s="42" t="inlineStr">
        <is>
          <t>Ngô Thành Đạt</t>
        </is>
      </c>
      <c r="L13" s="42" t="inlineStr">
        <is>
          <t>Passed</t>
        </is>
      </c>
      <c r="M13" s="162" t="n">
        <v>46325</v>
      </c>
      <c r="N13" s="42" t="inlineStr">
        <is>
          <t>Ngô Thành Đạt</t>
        </is>
      </c>
      <c r="O13" s="42" t="inlineStr">
        <is>
          <t>HTTP 400</t>
        </is>
      </c>
      <c r="Q13" s="46" t="n"/>
    </row>
    <row r="14" outlineLevel="1">
      <c r="A14" s="42" t="inlineStr">
        <is>
          <t>ST-AUTH-03</t>
        </is>
      </c>
      <c r="B14" s="42" t="inlineStr">
        <is>
          <t>Sign in with the emailed code</t>
        </is>
      </c>
      <c r="C14" s="42" t="inlineStr">
        <is>
          <t>1. Read the code from the email
2. POST /auth/email/verify
3. GET /auth/me</t>
        </is>
      </c>
      <c r="D14" s="42" t="inlineStr">
        <is>
          <t>Session opens; /auth/me returns the user; no password asked</t>
        </is>
      </c>
      <c r="E14" s="42" t="inlineStr">
        <is>
          <t>Sign-in started</t>
        </is>
      </c>
      <c r="F14" s="42" t="inlineStr">
        <is>
          <t>Passed</t>
        </is>
      </c>
      <c r="G14" s="162" t="n">
        <v>46325</v>
      </c>
      <c r="H14" s="42" t="inlineStr">
        <is>
          <t>Ngô Thành Đạt</t>
        </is>
      </c>
      <c r="I14" s="42" t="inlineStr">
        <is>
          <t>Passed</t>
        </is>
      </c>
      <c r="J14" s="162" t="n">
        <v>46325</v>
      </c>
      <c r="K14" s="42" t="inlineStr">
        <is>
          <t>Ngô Thành Đạt</t>
        </is>
      </c>
      <c r="L14" s="42" t="inlineStr">
        <is>
          <t>Passed</t>
        </is>
      </c>
      <c r="M14" s="162" t="n">
        <v>46325</v>
      </c>
      <c r="N14" s="42" t="inlineStr">
        <is>
          <t>Ngô Thành Đạt</t>
        </is>
      </c>
      <c r="O14" s="42" t="inlineStr">
        <is>
          <t>verify HTTP 200, me HTTP 200</t>
        </is>
      </c>
      <c r="Q14" s="46" t="n"/>
    </row>
    <row r="15" customFormat="1" s="32">
      <c r="A15" s="42" t="inlineStr">
        <is>
          <t>ST-AUTH-04</t>
        </is>
      </c>
      <c r="B15" s="42" t="inlineStr">
        <is>
          <t>Reuse a code that was already used</t>
        </is>
      </c>
      <c r="C15" s="42" t="inlineStr">
        <is>
          <t>1. POST /auth/email/verify again with the same code</t>
        </is>
      </c>
      <c r="D15" s="42" t="inlineStr">
        <is>
          <t>Request refused</t>
        </is>
      </c>
      <c r="E15" s="42" t="inlineStr">
        <is>
          <t>Code used once</t>
        </is>
      </c>
      <c r="F15" s="42" t="inlineStr">
        <is>
          <t>Passed</t>
        </is>
      </c>
      <c r="G15" s="162" t="n">
        <v>46325</v>
      </c>
      <c r="H15" s="42" t="inlineStr">
        <is>
          <t>Ngô Thành Đạt</t>
        </is>
      </c>
      <c r="I15" s="42" t="inlineStr">
        <is>
          <t>Passed</t>
        </is>
      </c>
      <c r="J15" s="162" t="n">
        <v>46325</v>
      </c>
      <c r="K15" s="42" t="inlineStr">
        <is>
          <t>Ngô Thành Đạt</t>
        </is>
      </c>
      <c r="L15" s="42" t="inlineStr">
        <is>
          <t>Passed</t>
        </is>
      </c>
      <c r="M15" s="162" t="n">
        <v>46325</v>
      </c>
      <c r="N15" s="42" t="inlineStr">
        <is>
          <t>Ngô Thành Đạt</t>
        </is>
      </c>
      <c r="O15" s="42" t="inlineStr">
        <is>
          <t>HTTP 400</t>
        </is>
      </c>
      <c r="Q15" s="41" t="n"/>
    </row>
    <row r="16" outlineLevel="1">
      <c r="A16" s="42" t="inlineStr">
        <is>
          <t>ST-AUTH-05</t>
        </is>
      </c>
      <c r="B16" s="42" t="inlineStr">
        <is>
          <t>Start sign-in from a site that is not allowed</t>
        </is>
      </c>
      <c r="C16" s="42" t="inlineStr">
        <is>
          <t>1. POST /auth/email/start with Origin http://evil.example</t>
        </is>
      </c>
      <c r="D16" s="42" t="inlineStr">
        <is>
          <t>Request refused (403)</t>
        </is>
      </c>
      <c r="E16" s="42" t="inlineStr">
        <is>
          <t>None</t>
        </is>
      </c>
      <c r="F16" s="42" t="inlineStr">
        <is>
          <t>Passed</t>
        </is>
      </c>
      <c r="G16" s="162" t="n">
        <v>46325</v>
      </c>
      <c r="H16" s="42" t="inlineStr">
        <is>
          <t>Ngô Thành Đạt</t>
        </is>
      </c>
      <c r="I16" s="42" t="inlineStr">
        <is>
          <t>Passed</t>
        </is>
      </c>
      <c r="J16" s="162" t="n">
        <v>46325</v>
      </c>
      <c r="K16" s="42" t="inlineStr">
        <is>
          <t>Ngô Thành Đạt</t>
        </is>
      </c>
      <c r="L16" s="42" t="inlineStr">
        <is>
          <t>Passed</t>
        </is>
      </c>
      <c r="M16" s="162" t="n">
        <v>46325</v>
      </c>
      <c r="N16" s="42" t="inlineStr">
        <is>
          <t>Ngô Thành Đạt</t>
        </is>
      </c>
      <c r="O16" s="42" t="inlineStr">
        <is>
          <t>HTTP 403</t>
        </is>
      </c>
      <c r="Q16" s="46" t="n"/>
    </row>
    <row r="17" outlineLevel="1">
      <c r="A17" s="161" t="inlineStr">
        <is>
          <t>Session</t>
        </is>
      </c>
      <c r="B17" s="161" t="n"/>
      <c r="C17" s="161" t="n"/>
      <c r="D17" s="161" t="n"/>
      <c r="E17" s="161" t="n"/>
      <c r="F17" s="161" t="n"/>
      <c r="G17" s="161" t="n"/>
      <c r="H17" s="161" t="n"/>
      <c r="I17" s="161" t="n"/>
      <c r="J17" s="161" t="n"/>
      <c r="K17" s="161" t="n"/>
      <c r="L17" s="161" t="n"/>
      <c r="M17" s="161" t="n"/>
      <c r="N17" s="161" t="n"/>
      <c r="O17" s="161" t="n"/>
      <c r="Q17" s="51" t="n"/>
    </row>
    <row r="18" customFormat="1" s="32">
      <c r="A18" s="42" t="inlineStr">
        <is>
          <t>ST-AUTH-06</t>
        </is>
      </c>
      <c r="B18" s="42" t="inlineStr">
        <is>
          <t>Open the profile without a session</t>
        </is>
      </c>
      <c r="C18" s="42" t="inlineStr">
        <is>
          <t>1. GET /auth/me without cookie</t>
        </is>
      </c>
      <c r="D18" s="42" t="inlineStr">
        <is>
          <t>Request refused (401)</t>
        </is>
      </c>
      <c r="E18" s="42" t="inlineStr">
        <is>
          <t>Not signed in</t>
        </is>
      </c>
      <c r="F18" s="42" t="inlineStr">
        <is>
          <t>Passed</t>
        </is>
      </c>
      <c r="G18" s="162" t="n">
        <v>46325</v>
      </c>
      <c r="H18" s="42" t="inlineStr">
        <is>
          <t>Ngô Thành Đạt</t>
        </is>
      </c>
      <c r="I18" s="42" t="inlineStr">
        <is>
          <t>Passed</t>
        </is>
      </c>
      <c r="J18" s="162" t="n">
        <v>46325</v>
      </c>
      <c r="K18" s="42" t="inlineStr">
        <is>
          <t>Ngô Thành Đạt</t>
        </is>
      </c>
      <c r="L18" s="42" t="inlineStr">
        <is>
          <t>Passed</t>
        </is>
      </c>
      <c r="M18" s="162" t="n">
        <v>46325</v>
      </c>
      <c r="N18" s="42" t="inlineStr">
        <is>
          <t>Ngô Thành Đạt</t>
        </is>
      </c>
      <c r="O18" s="42" t="inlineStr">
        <is>
          <t>HTTP 401</t>
        </is>
      </c>
      <c r="Q18" s="41" t="n"/>
    </row>
    <row r="19" outlineLevel="1">
      <c r="A19" s="161" t="inlineStr">
        <is>
          <t>Complete onboarding and update profile</t>
        </is>
      </c>
      <c r="B19" s="161" t="n"/>
      <c r="C19" s="161" t="n"/>
      <c r="D19" s="161" t="n"/>
      <c r="E19" s="161" t="n"/>
      <c r="F19" s="161" t="n"/>
      <c r="G19" s="161" t="n"/>
      <c r="H19" s="161" t="n"/>
      <c r="I19" s="161" t="n"/>
      <c r="J19" s="161" t="n"/>
      <c r="K19" s="161" t="n"/>
      <c r="L19" s="161" t="n"/>
      <c r="M19" s="161" t="n"/>
      <c r="N19" s="161" t="n"/>
      <c r="O19" s="161" t="n"/>
      <c r="Q19" s="46" t="n"/>
    </row>
    <row r="20">
      <c r="A20" s="42" t="inlineStr">
        <is>
          <t>ST-AUTH-07</t>
        </is>
      </c>
      <c r="B20" s="42" t="inlineStr">
        <is>
          <t>Set the display name</t>
        </is>
      </c>
      <c r="C20" s="42" t="inlineStr">
        <is>
          <t>1. PATCH /auth/me with display_name
2. GET /auth/me</t>
        </is>
      </c>
      <c r="D20" s="42" t="inlineStr">
        <is>
          <t>Name saved and returned</t>
        </is>
      </c>
      <c r="E20" s="42" t="inlineStr">
        <is>
          <t>Signed in</t>
        </is>
      </c>
      <c r="F20" s="42" t="inlineStr">
        <is>
          <t>Passed</t>
        </is>
      </c>
      <c r="G20" s="162" t="n">
        <v>46325</v>
      </c>
      <c r="H20" s="42" t="inlineStr">
        <is>
          <t>Ngô Thành Đạt</t>
        </is>
      </c>
      <c r="I20" s="42" t="inlineStr">
        <is>
          <t>Passed</t>
        </is>
      </c>
      <c r="J20" s="162" t="n">
        <v>46325</v>
      </c>
      <c r="K20" s="42" t="inlineStr">
        <is>
          <t>Ngô Thành Đạt</t>
        </is>
      </c>
      <c r="L20" s="42" t="inlineStr">
        <is>
          <t>Passed</t>
        </is>
      </c>
      <c r="M20" s="162" t="n">
        <v>46325</v>
      </c>
      <c r="N20" s="42" t="inlineStr">
        <is>
          <t>Ngô Thành Đạt</t>
        </is>
      </c>
      <c r="O20" s="42" t="inlineStr">
        <is>
          <t>HTTP 200</t>
        </is>
      </c>
    </row>
    <row r="21">
      <c r="A21" s="161" t="inlineStr">
        <is>
          <t>Sign out</t>
        </is>
      </c>
      <c r="B21" s="161" t="n"/>
      <c r="C21" s="161" t="n"/>
      <c r="D21" s="161" t="n"/>
      <c r="E21" s="161" t="n"/>
      <c r="F21" s="161" t="n"/>
      <c r="G21" s="161" t="n"/>
      <c r="H21" s="161" t="n"/>
      <c r="I21" s="161" t="n"/>
      <c r="J21" s="161" t="n"/>
      <c r="K21" s="161" t="n"/>
      <c r="L21" s="161" t="n"/>
      <c r="M21" s="161" t="n"/>
      <c r="N21" s="161" t="n"/>
      <c r="O21" s="161" t="n"/>
    </row>
    <row r="22">
      <c r="A22" s="42" t="inlineStr">
        <is>
          <t>ST-AUTH-08</t>
        </is>
      </c>
      <c r="B22" s="42" t="inlineStr">
        <is>
          <t>Sign out ends the session</t>
        </is>
      </c>
      <c r="C22" s="42" t="inlineStr">
        <is>
          <t>1. Sign in a second browser session
2. POST /auth/logout
3. GET /auth/me</t>
        </is>
      </c>
      <c r="D22" s="42" t="inlineStr">
        <is>
          <t>/auth/me answers 401 after logout</t>
        </is>
      </c>
      <c r="E22" s="42" t="inlineStr">
        <is>
          <t>Signed in</t>
        </is>
      </c>
      <c r="F22" s="42" t="inlineStr">
        <is>
          <t>Passed</t>
        </is>
      </c>
      <c r="G22" s="162" t="n">
        <v>46325</v>
      </c>
      <c r="H22" s="42" t="inlineStr">
        <is>
          <t>Ngô Thành Đạt</t>
        </is>
      </c>
      <c r="I22" s="42" t="inlineStr">
        <is>
          <t>Passed</t>
        </is>
      </c>
      <c r="J22" s="162" t="n">
        <v>46325</v>
      </c>
      <c r="K22" s="42" t="inlineStr">
        <is>
          <t>Ngô Thành Đạt</t>
        </is>
      </c>
      <c r="L22" s="42" t="inlineStr">
        <is>
          <t>Passed</t>
        </is>
      </c>
      <c r="M22" s="162" t="n">
        <v>46325</v>
      </c>
      <c r="N22" s="42" t="inlineStr">
        <is>
          <t>Ngô Thành Đạt</t>
        </is>
      </c>
      <c r="O22" s="42" t="inlineStr">
        <is>
          <t>logout HTTP 200, me HTTP 401</t>
        </is>
      </c>
    </row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R33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48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Project Workspace</t>
        </is>
      </c>
      <c r="C2" s="157" t="n"/>
      <c r="D2" s="157" t="n"/>
      <c r="E2" s="158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Projects, members, invitations, settings, activity, archive, ownership and delete (FE-02; UC-03, UC-04).</t>
        </is>
      </c>
      <c r="C3" s="159" t="n"/>
      <c r="D3" s="159" t="n"/>
      <c r="E3" s="160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COUNTIF(A12:A33,"ST-*")</f>
        <v/>
      </c>
      <c r="C4" s="159" t="n"/>
      <c r="D4" s="159" t="n"/>
      <c r="E4" s="160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COUNTIF($F$12:$F$33,B$5)</f>
        <v/>
      </c>
      <c r="C6" s="92">
        <f>COUNTIF($F$12:$F$33,C$5)</f>
        <v/>
      </c>
      <c r="D6" s="92">
        <f>COUNTIF($F$12:$F$33,D$5)</f>
        <v/>
      </c>
      <c r="E6" s="98">
        <f>COUNTIF($F$12:$F$33,E$5)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COUNTIF($I$12:$I$33,B$5)</f>
        <v/>
      </c>
      <c r="C7" s="92">
        <f>COUNTIF($I$12:$I$33,C$5)</f>
        <v/>
      </c>
      <c r="D7" s="92">
        <f>COUNTIF($I$12:$I$33,D$5)</f>
        <v/>
      </c>
      <c r="E7" s="98">
        <f>COUNTIF($I$12:$I$33,E$5)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COUNTIF($L$12:$L$33,B$5)</f>
        <v/>
      </c>
      <c r="C8" s="96">
        <f>COUNTIF($L$12:$L$33,C$5)</f>
        <v/>
      </c>
      <c r="D8" s="96">
        <f>COUNTIF($L$12:$L$33,D$5)</f>
        <v/>
      </c>
      <c r="E8" s="97">
        <f>COUNTIF($L$12:$L$33,E$5)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customFormat="1" s="32">
      <c r="A11" s="161" t="inlineStr">
        <is>
          <t>Create project</t>
        </is>
      </c>
      <c r="B11" s="161" t="n"/>
      <c r="C11" s="161" t="n"/>
      <c r="D11" s="161" t="n"/>
      <c r="E11" s="161" t="n"/>
      <c r="F11" s="161" t="n"/>
      <c r="G11" s="161" t="n"/>
      <c r="H11" s="161" t="n"/>
      <c r="I11" s="161" t="n"/>
      <c r="J11" s="161" t="n"/>
      <c r="K11" s="161" t="n"/>
      <c r="L11" s="161" t="n"/>
      <c r="M11" s="161" t="n"/>
      <c r="N11" s="161" t="n"/>
      <c r="O11" s="161" t="n"/>
      <c r="Q11" s="41" t="n"/>
    </row>
    <row r="12" outlineLevel="1" customFormat="1" s="47">
      <c r="A12" s="42" t="inlineStr">
        <is>
          <t>ST-PRJ-01</t>
        </is>
      </c>
      <c r="B12" s="42" t="inlineStr">
        <is>
          <t>Create a project</t>
        </is>
      </c>
      <c r="C12" s="42" t="inlineStr">
        <is>
          <t>1. POST /projects with name, description, domain</t>
        </is>
      </c>
      <c r="D12" s="42" t="inlineStr">
        <is>
          <t>Project created; creator is Project Manager</t>
        </is>
      </c>
      <c r="E12" s="42" t="inlineStr">
        <is>
          <t>Signed in</t>
        </is>
      </c>
      <c r="F12" s="42" t="inlineStr">
        <is>
          <t>Passed</t>
        </is>
      </c>
      <c r="G12" s="162" t="n">
        <v>46325</v>
      </c>
      <c r="H12" s="42" t="inlineStr">
        <is>
          <t>Ngô Thành Đạt</t>
        </is>
      </c>
      <c r="I12" s="42" t="inlineStr">
        <is>
          <t>Passed</t>
        </is>
      </c>
      <c r="J12" s="162" t="n">
        <v>46325</v>
      </c>
      <c r="K12" s="42" t="inlineStr">
        <is>
          <t>Ngô Thành Đạt</t>
        </is>
      </c>
      <c r="L12" s="42" t="inlineStr">
        <is>
          <t>Passed</t>
        </is>
      </c>
      <c r="M12" s="162" t="n">
        <v>46325</v>
      </c>
      <c r="N12" s="42" t="inlineStr">
        <is>
          <t>Ngô Thành Đạt</t>
        </is>
      </c>
      <c r="O12" s="42" t="inlineStr">
        <is>
          <t>HTTP 201</t>
        </is>
      </c>
      <c r="Q12" s="46" t="n"/>
    </row>
    <row r="13" outlineLevel="1">
      <c r="A13" s="42" t="inlineStr">
        <is>
          <t>ST-PRJ-02</t>
        </is>
      </c>
      <c r="B13" s="42" t="inlineStr">
        <is>
          <t>Create a project without a name</t>
        </is>
      </c>
      <c r="C13" s="42" t="inlineStr">
        <is>
          <t>1. POST /projects with empty name</t>
        </is>
      </c>
      <c r="D13" s="42" t="inlineStr">
        <is>
          <t>Validation error (422)</t>
        </is>
      </c>
      <c r="E13" s="42" t="inlineStr">
        <is>
          <t>Signed in</t>
        </is>
      </c>
      <c r="F13" s="42" t="inlineStr">
        <is>
          <t>Passed</t>
        </is>
      </c>
      <c r="G13" s="162" t="n">
        <v>46325</v>
      </c>
      <c r="H13" s="42" t="inlineStr">
        <is>
          <t>Ngô Thành Đạt</t>
        </is>
      </c>
      <c r="I13" s="42" t="inlineStr">
        <is>
          <t>Passed</t>
        </is>
      </c>
      <c r="J13" s="162" t="n">
        <v>46325</v>
      </c>
      <c r="K13" s="42" t="inlineStr">
        <is>
          <t>Ngô Thành Đạt</t>
        </is>
      </c>
      <c r="L13" s="42" t="inlineStr">
        <is>
          <t>Passed</t>
        </is>
      </c>
      <c r="M13" s="162" t="n">
        <v>46325</v>
      </c>
      <c r="N13" s="42" t="inlineStr">
        <is>
          <t>Ngô Thành Đạt</t>
        </is>
      </c>
      <c r="O13" s="42" t="inlineStr">
        <is>
          <t>HTTP 422</t>
        </is>
      </c>
      <c r="Q13" s="46" t="n"/>
    </row>
    <row r="14" outlineLevel="1">
      <c r="A14" s="161" t="inlineStr">
        <is>
          <t>View project list and overview</t>
        </is>
      </c>
      <c r="B14" s="161" t="n"/>
      <c r="C14" s="161" t="n"/>
      <c r="D14" s="161" t="n"/>
      <c r="E14" s="161" t="n"/>
      <c r="F14" s="161" t="n"/>
      <c r="G14" s="161" t="n"/>
      <c r="H14" s="161" t="n"/>
      <c r="I14" s="161" t="n"/>
      <c r="J14" s="161" t="n"/>
      <c r="K14" s="161" t="n"/>
      <c r="L14" s="161" t="n"/>
      <c r="M14" s="161" t="n"/>
      <c r="N14" s="161" t="n"/>
      <c r="O14" s="161" t="n"/>
      <c r="Q14" s="46" t="n"/>
    </row>
    <row r="15" customFormat="1" s="32">
      <c r="A15" s="42" t="inlineStr">
        <is>
          <t>ST-PRJ-03</t>
        </is>
      </c>
      <c r="B15" s="42" t="inlineStr">
        <is>
          <t>A user sees only own projects</t>
        </is>
      </c>
      <c r="C15" s="42" t="inlineStr">
        <is>
          <t>1. As outsider GET /projects</t>
        </is>
      </c>
      <c r="D15" s="42" t="inlineStr">
        <is>
          <t>The new project is not listed</t>
        </is>
      </c>
      <c r="E15" s="42" t="inlineStr">
        <is>
          <t>Project exists</t>
        </is>
      </c>
      <c r="F15" s="42" t="inlineStr">
        <is>
          <t>Passed</t>
        </is>
      </c>
      <c r="G15" s="162" t="n">
        <v>46325</v>
      </c>
      <c r="H15" s="42" t="inlineStr">
        <is>
          <t>Ngô Thành Đạt</t>
        </is>
      </c>
      <c r="I15" s="42" t="inlineStr">
        <is>
          <t>Passed</t>
        </is>
      </c>
      <c r="J15" s="162" t="n">
        <v>46325</v>
      </c>
      <c r="K15" s="42" t="inlineStr">
        <is>
          <t>Ngô Thành Đạt</t>
        </is>
      </c>
      <c r="L15" s="42" t="inlineStr">
        <is>
          <t>Passed</t>
        </is>
      </c>
      <c r="M15" s="162" t="n">
        <v>46325</v>
      </c>
      <c r="N15" s="42" t="inlineStr">
        <is>
          <t>Ngô Thành Đạt</t>
        </is>
      </c>
      <c r="O15" s="42" t="inlineStr">
        <is>
          <t>HTTP 200, 0 projects</t>
        </is>
      </c>
      <c r="Q15" s="41" t="n"/>
    </row>
    <row r="16" outlineLevel="1">
      <c r="A16" s="42" t="inlineStr">
        <is>
          <t>ST-PRJ-04</t>
        </is>
      </c>
      <c r="B16" s="42" t="inlineStr">
        <is>
          <t>A non-member opens a project</t>
        </is>
      </c>
      <c r="C16" s="42" t="inlineStr">
        <is>
          <t>1. As outsider GET /projects/{id}</t>
        </is>
      </c>
      <c r="D16" s="42" t="inlineStr">
        <is>
          <t>Refused (403/404); nothing revealed</t>
        </is>
      </c>
      <c r="E16" s="42" t="inlineStr">
        <is>
          <t>Project exists</t>
        </is>
      </c>
      <c r="F16" s="42" t="inlineStr">
        <is>
          <t>Passed</t>
        </is>
      </c>
      <c r="G16" s="162" t="n">
        <v>46325</v>
      </c>
      <c r="H16" s="42" t="inlineStr">
        <is>
          <t>Ngô Thành Đạt</t>
        </is>
      </c>
      <c r="I16" s="42" t="inlineStr">
        <is>
          <t>Passed</t>
        </is>
      </c>
      <c r="J16" s="162" t="n">
        <v>46325</v>
      </c>
      <c r="K16" s="42" t="inlineStr">
        <is>
          <t>Ngô Thành Đạt</t>
        </is>
      </c>
      <c r="L16" s="42" t="inlineStr">
        <is>
          <t>Passed</t>
        </is>
      </c>
      <c r="M16" s="162" t="n">
        <v>46325</v>
      </c>
      <c r="N16" s="42" t="inlineStr">
        <is>
          <t>Ngô Thành Đạt</t>
        </is>
      </c>
      <c r="O16" s="42" t="inlineStr">
        <is>
          <t>HTTP 404</t>
        </is>
      </c>
      <c r="Q16" s="46" t="n"/>
    </row>
    <row r="17" outlineLevel="1">
      <c r="A17" s="161" t="inlineStr">
        <is>
          <t>Manage members and invitations</t>
        </is>
      </c>
      <c r="B17" s="161" t="n"/>
      <c r="C17" s="161" t="n"/>
      <c r="D17" s="161" t="n"/>
      <c r="E17" s="161" t="n"/>
      <c r="F17" s="161" t="n"/>
      <c r="G17" s="161" t="n"/>
      <c r="H17" s="161" t="n"/>
      <c r="I17" s="161" t="n"/>
      <c r="J17" s="161" t="n"/>
      <c r="K17" s="161" t="n"/>
      <c r="L17" s="161" t="n"/>
      <c r="M17" s="161" t="n"/>
      <c r="N17" s="161" t="n"/>
      <c r="O17" s="161" t="n"/>
      <c r="Q17" s="51" t="n"/>
    </row>
    <row r="18" customFormat="1" s="32">
      <c r="A18" s="42" t="inlineStr">
        <is>
          <t>ST-PRJ-05</t>
        </is>
      </c>
      <c r="B18" s="42" t="inlineStr">
        <is>
          <t>Invite a member as Researcher</t>
        </is>
      </c>
      <c r="C18" s="42" t="inlineStr">
        <is>
          <t>1. POST /projects/{id}/members with email and role researcher
2. GET members</t>
        </is>
      </c>
      <c r="D18" s="42" t="inlineStr">
        <is>
          <t>Invitation saved as pending</t>
        </is>
      </c>
      <c r="E18" s="42" t="inlineStr">
        <is>
          <t>Signed in as Project Manager</t>
        </is>
      </c>
      <c r="F18" s="42" t="inlineStr">
        <is>
          <t>Passed</t>
        </is>
      </c>
      <c r="G18" s="162" t="n">
        <v>46325</v>
      </c>
      <c r="H18" s="42" t="inlineStr">
        <is>
          <t>Ngô Thành Đạt</t>
        </is>
      </c>
      <c r="I18" s="42" t="inlineStr">
        <is>
          <t>Passed</t>
        </is>
      </c>
      <c r="J18" s="162" t="n">
        <v>46325</v>
      </c>
      <c r="K18" s="42" t="inlineStr">
        <is>
          <t>Ngô Thành Đạt</t>
        </is>
      </c>
      <c r="L18" s="42" t="inlineStr">
        <is>
          <t>Passed</t>
        </is>
      </c>
      <c r="M18" s="162" t="n">
        <v>46325</v>
      </c>
      <c r="N18" s="42" t="inlineStr">
        <is>
          <t>Ngô Thành Đạt</t>
        </is>
      </c>
      <c r="O18" s="42" t="inlineStr">
        <is>
          <t>HTTP 201</t>
        </is>
      </c>
      <c r="Q18" s="41" t="n"/>
    </row>
    <row r="19" outlineLevel="1">
      <c r="A19" s="42" t="inlineStr">
        <is>
          <t>ST-PRJ-06</t>
        </is>
      </c>
      <c r="B19" s="42" t="inlineStr">
        <is>
          <t>Invite with a role that does not exist</t>
        </is>
      </c>
      <c r="C19" s="42" t="inlineStr">
        <is>
          <t>1. POST members with role owner</t>
        </is>
      </c>
      <c r="D19" s="42" t="inlineStr">
        <is>
          <t>Validation error (422)</t>
        </is>
      </c>
      <c r="E19" s="42" t="inlineStr">
        <is>
          <t>Signed in as Project Manager</t>
        </is>
      </c>
      <c r="F19" s="42" t="inlineStr">
        <is>
          <t>Passed</t>
        </is>
      </c>
      <c r="G19" s="162" t="n">
        <v>46325</v>
      </c>
      <c r="H19" s="42" t="inlineStr">
        <is>
          <t>Ngô Thành Đạt</t>
        </is>
      </c>
      <c r="I19" s="42" t="inlineStr">
        <is>
          <t>Passed</t>
        </is>
      </c>
      <c r="J19" s="162" t="n">
        <v>46325</v>
      </c>
      <c r="K19" s="42" t="inlineStr">
        <is>
          <t>Ngô Thành Đạt</t>
        </is>
      </c>
      <c r="L19" s="42" t="inlineStr">
        <is>
          <t>Passed</t>
        </is>
      </c>
      <c r="M19" s="162" t="n">
        <v>46325</v>
      </c>
      <c r="N19" s="42" t="inlineStr">
        <is>
          <t>Ngô Thành Đạt</t>
        </is>
      </c>
      <c r="O19" s="42" t="inlineStr">
        <is>
          <t>HTTP 422</t>
        </is>
      </c>
      <c r="Q19" s="46" t="n"/>
    </row>
    <row r="20">
      <c r="A20" s="161" t="inlineStr">
        <is>
          <t>Accept or decline invitation</t>
        </is>
      </c>
      <c r="B20" s="161" t="n"/>
      <c r="C20" s="161" t="n"/>
      <c r="D20" s="161" t="n"/>
      <c r="E20" s="161" t="n"/>
      <c r="F20" s="161" t="n"/>
      <c r="G20" s="161" t="n"/>
      <c r="H20" s="161" t="n"/>
      <c r="I20" s="161" t="n"/>
      <c r="J20" s="161" t="n"/>
      <c r="K20" s="161" t="n"/>
      <c r="L20" s="161" t="n"/>
      <c r="M20" s="161" t="n"/>
      <c r="N20" s="161" t="n"/>
      <c r="O20" s="161" t="n"/>
    </row>
    <row r="21">
      <c r="A21" s="42" t="inlineStr">
        <is>
          <t>ST-PRJ-07</t>
        </is>
      </c>
      <c r="B21" s="42" t="inlineStr">
        <is>
          <t>Invitee accepts the invitation</t>
        </is>
      </c>
      <c r="C21" s="42" t="inlineStr">
        <is>
          <t>1. As invitee list invitations
2. Accept the invitation
3. GET the project</t>
        </is>
      </c>
      <c r="D21" s="42" t="inlineStr">
        <is>
          <t>Invitee becomes a member and opens the project</t>
        </is>
      </c>
      <c r="E21" s="42" t="inlineStr">
        <is>
          <t>Invitation pending</t>
        </is>
      </c>
      <c r="F21" s="42" t="inlineStr">
        <is>
          <t>Passed</t>
        </is>
      </c>
      <c r="G21" s="162" t="n">
        <v>46325</v>
      </c>
      <c r="H21" s="42" t="inlineStr">
        <is>
          <t>Ngô Thành Đạt</t>
        </is>
      </c>
      <c r="I21" s="42" t="inlineStr">
        <is>
          <t>Passed</t>
        </is>
      </c>
      <c r="J21" s="162" t="n">
        <v>46325</v>
      </c>
      <c r="K21" s="42" t="inlineStr">
        <is>
          <t>Ngô Thành Đạt</t>
        </is>
      </c>
      <c r="L21" s="42" t="inlineStr">
        <is>
          <t>Passed</t>
        </is>
      </c>
      <c r="M21" s="162" t="n">
        <v>46325</v>
      </c>
      <c r="N21" s="42" t="inlineStr">
        <is>
          <t>Ngô Thành Đạt</t>
        </is>
      </c>
      <c r="O21" s="42" t="inlineStr">
        <is>
          <t>accept HTTP 200, project HTTP 200</t>
        </is>
      </c>
    </row>
    <row r="22">
      <c r="A22" s="161" t="inlineStr">
        <is>
          <t>Configure project settings</t>
        </is>
      </c>
      <c r="B22" s="161" t="n"/>
      <c r="C22" s="161" t="n"/>
      <c r="D22" s="161" t="n"/>
      <c r="E22" s="161" t="n"/>
      <c r="F22" s="161" t="n"/>
      <c r="G22" s="161" t="n"/>
      <c r="H22" s="161" t="n"/>
      <c r="I22" s="161" t="n"/>
      <c r="J22" s="161" t="n"/>
      <c r="K22" s="161" t="n"/>
      <c r="L22" s="161" t="n"/>
      <c r="M22" s="161" t="n"/>
      <c r="N22" s="161" t="n"/>
      <c r="O22" s="161" t="n"/>
    </row>
    <row r="23">
      <c r="A23" s="42" t="inlineStr">
        <is>
          <t>ST-PRJ-08</t>
        </is>
      </c>
      <c r="B23" s="42" t="inlineStr">
        <is>
          <t>Read defaults and save one section</t>
        </is>
      </c>
      <c r="C23" s="42" t="inlineStr">
        <is>
          <t>1. GET /projects/{id}/settings
2. PATCH settings/{section} with the version</t>
        </is>
      </c>
      <c r="D23" s="42" t="inlineStr">
        <is>
          <t>Section saved; version increases</t>
        </is>
      </c>
      <c r="E23" s="42" t="inlineStr">
        <is>
          <t>Signed in as Project Manager</t>
        </is>
      </c>
      <c r="F23" s="42" t="inlineStr">
        <is>
          <t>Passed</t>
        </is>
      </c>
      <c r="G23" s="162" t="n">
        <v>46325</v>
      </c>
      <c r="H23" s="42" t="inlineStr">
        <is>
          <t>Ngô Thành Đạt</t>
        </is>
      </c>
      <c r="I23" s="42" t="inlineStr">
        <is>
          <t>Passed</t>
        </is>
      </c>
      <c r="J23" s="162" t="n">
        <v>46325</v>
      </c>
      <c r="K23" s="42" t="inlineStr">
        <is>
          <t>Ngô Thành Đạt</t>
        </is>
      </c>
      <c r="L23" s="42" t="inlineStr">
        <is>
          <t>Passed</t>
        </is>
      </c>
      <c r="M23" s="162" t="n">
        <v>46325</v>
      </c>
      <c r="N23" s="42" t="inlineStr">
        <is>
          <t>Ngô Thành Đạt</t>
        </is>
      </c>
      <c r="O23" s="42" t="inlineStr">
        <is>
          <t>HTTP 200, version 0-&gt;1</t>
        </is>
      </c>
    </row>
    <row r="24">
      <c r="A24" s="42" t="inlineStr">
        <is>
          <t>ST-PRJ-09</t>
        </is>
      </c>
      <c r="B24" s="42" t="inlineStr">
        <is>
          <t>Save with a stale version</t>
        </is>
      </c>
      <c r="C24" s="42" t="inlineStr">
        <is>
          <t>1. PATCH settings with the old version number</t>
        </is>
      </c>
      <c r="D24" s="42" t="inlineStr">
        <is>
          <t>Conflict (409); old values kept</t>
        </is>
      </c>
      <c r="E24" s="42" t="inlineStr">
        <is>
          <t>Settings saved once</t>
        </is>
      </c>
      <c r="F24" s="42" t="inlineStr">
        <is>
          <t>Passed</t>
        </is>
      </c>
      <c r="G24" s="162" t="n">
        <v>46325</v>
      </c>
      <c r="H24" s="42" t="inlineStr">
        <is>
          <t>Ngô Thành Đạt</t>
        </is>
      </c>
      <c r="I24" s="42" t="inlineStr">
        <is>
          <t>Passed</t>
        </is>
      </c>
      <c r="J24" s="162" t="n">
        <v>46325</v>
      </c>
      <c r="K24" s="42" t="inlineStr">
        <is>
          <t>Ngô Thành Đạt</t>
        </is>
      </c>
      <c r="L24" s="42" t="inlineStr">
        <is>
          <t>Passed</t>
        </is>
      </c>
      <c r="M24" s="162" t="n">
        <v>46325</v>
      </c>
      <c r="N24" s="42" t="inlineStr">
        <is>
          <t>Ngô Thành Đạt</t>
        </is>
      </c>
      <c r="O24" s="42" t="inlineStr">
        <is>
          <t>HTTP 409</t>
        </is>
      </c>
    </row>
    <row r="25">
      <c r="A25" s="42" t="inlineStr">
        <is>
          <t>ST-PRJ-10</t>
        </is>
      </c>
      <c r="B25" s="42" t="inlineStr">
        <is>
          <t>A Researcher tries to change settings</t>
        </is>
      </c>
      <c r="C25" s="42" t="inlineStr">
        <is>
          <t>1. As Researcher PATCH settings</t>
        </is>
      </c>
      <c r="D25" s="42" t="inlineStr">
        <is>
          <t>Refused (403)</t>
        </is>
      </c>
      <c r="E25" s="42" t="inlineStr">
        <is>
          <t>Researcher is a member</t>
        </is>
      </c>
      <c r="F25" s="42" t="inlineStr">
        <is>
          <t>Passed</t>
        </is>
      </c>
      <c r="G25" s="162" t="n">
        <v>46325</v>
      </c>
      <c r="H25" s="42" t="inlineStr">
        <is>
          <t>Ngô Thành Đạt</t>
        </is>
      </c>
      <c r="I25" s="42" t="inlineStr">
        <is>
          <t>Passed</t>
        </is>
      </c>
      <c r="J25" s="162" t="n">
        <v>46325</v>
      </c>
      <c r="K25" s="42" t="inlineStr">
        <is>
          <t>Ngô Thành Đạt</t>
        </is>
      </c>
      <c r="L25" s="42" t="inlineStr">
        <is>
          <t>Passed</t>
        </is>
      </c>
      <c r="M25" s="162" t="n">
        <v>46325</v>
      </c>
      <c r="N25" s="42" t="inlineStr">
        <is>
          <t>Ngô Thành Đạt</t>
        </is>
      </c>
      <c r="O25" s="42" t="inlineStr">
        <is>
          <t>HTTP 403</t>
        </is>
      </c>
    </row>
    <row r="26">
      <c r="A26" s="161" t="inlineStr">
        <is>
          <t>View project activity and audit log</t>
        </is>
      </c>
      <c r="B26" s="161" t="n"/>
      <c r="C26" s="161" t="n"/>
      <c r="D26" s="161" t="n"/>
      <c r="E26" s="161" t="n"/>
      <c r="F26" s="161" t="n"/>
      <c r="G26" s="161" t="n"/>
      <c r="H26" s="161" t="n"/>
      <c r="I26" s="161" t="n"/>
      <c r="J26" s="161" t="n"/>
      <c r="K26" s="161" t="n"/>
      <c r="L26" s="161" t="n"/>
      <c r="M26" s="161" t="n"/>
      <c r="N26" s="161" t="n"/>
      <c r="O26" s="161" t="n"/>
    </row>
    <row r="27">
      <c r="A27" s="42" t="inlineStr">
        <is>
          <t>ST-PRJ-11</t>
        </is>
      </c>
      <c r="B27" s="42" t="inlineStr">
        <is>
          <t>Changes appear in the activity log</t>
        </is>
      </c>
      <c r="C27" s="42" t="inlineStr">
        <is>
          <t>1. GET /projects/{id}/activity</t>
        </is>
      </c>
      <c r="D27" s="42" t="inlineStr">
        <is>
          <t>Entries for project creation, invitation and settings</t>
        </is>
      </c>
      <c r="E27" s="42" t="inlineStr">
        <is>
          <t>Changes made</t>
        </is>
      </c>
      <c r="F27" s="42" t="inlineStr">
        <is>
          <t>Passed</t>
        </is>
      </c>
      <c r="G27" s="162" t="n">
        <v>46325</v>
      </c>
      <c r="H27" s="42" t="inlineStr">
        <is>
          <t>Ngô Thành Đạt</t>
        </is>
      </c>
      <c r="I27" s="42" t="inlineStr">
        <is>
          <t>Passed</t>
        </is>
      </c>
      <c r="J27" s="162" t="n">
        <v>46325</v>
      </c>
      <c r="K27" s="42" t="inlineStr">
        <is>
          <t>Ngô Thành Đạt</t>
        </is>
      </c>
      <c r="L27" s="42" t="inlineStr">
        <is>
          <t>Passed</t>
        </is>
      </c>
      <c r="M27" s="162" t="n">
        <v>46325</v>
      </c>
      <c r="N27" s="42" t="inlineStr">
        <is>
          <t>Ngô Thành Đạt</t>
        </is>
      </c>
      <c r="O27" s="42" t="inlineStr">
        <is>
          <t>HTTP 200, 4 entries</t>
        </is>
      </c>
    </row>
    <row r="28">
      <c r="A28" s="161" t="inlineStr">
        <is>
          <t>Update, archive, complete project</t>
        </is>
      </c>
      <c r="B28" s="161" t="n"/>
      <c r="C28" s="161" t="n"/>
      <c r="D28" s="161" t="n"/>
      <c r="E28" s="161" t="n"/>
      <c r="F28" s="161" t="n"/>
      <c r="G28" s="161" t="n"/>
      <c r="H28" s="161" t="n"/>
      <c r="I28" s="161" t="n"/>
      <c r="J28" s="161" t="n"/>
      <c r="K28" s="161" t="n"/>
      <c r="L28" s="161" t="n"/>
      <c r="M28" s="161" t="n"/>
      <c r="N28" s="161" t="n"/>
      <c r="O28" s="161" t="n"/>
    </row>
    <row r="29">
      <c r="A29" s="42" t="inlineStr">
        <is>
          <t>ST-PRJ-12</t>
        </is>
      </c>
      <c r="B29" s="42" t="inlineStr">
        <is>
          <t>Archive the project; it is read-only</t>
        </is>
      </c>
      <c r="C29" s="42" t="inlineStr">
        <is>
          <t>1. POST /archive
2. PATCH a setting
3. POST /restore</t>
        </is>
      </c>
      <c r="D29" s="42" t="inlineStr">
        <is>
          <t>Change refused while archived; restore works</t>
        </is>
      </c>
      <c r="E29" s="42" t="inlineStr">
        <is>
          <t>Project Manager</t>
        </is>
      </c>
      <c r="F29" s="42" t="inlineStr">
        <is>
          <t>Passed</t>
        </is>
      </c>
      <c r="G29" s="162" t="n">
        <v>46325</v>
      </c>
      <c r="H29" s="42" t="inlineStr">
        <is>
          <t>Ngô Thành Đạt</t>
        </is>
      </c>
      <c r="I29" s="42" t="inlineStr">
        <is>
          <t>Passed</t>
        </is>
      </c>
      <c r="J29" s="162" t="n">
        <v>46325</v>
      </c>
      <c r="K29" s="42" t="inlineStr">
        <is>
          <t>Ngô Thành Đạt</t>
        </is>
      </c>
      <c r="L29" s="42" t="inlineStr">
        <is>
          <t>Passed</t>
        </is>
      </c>
      <c r="M29" s="162" t="n">
        <v>46325</v>
      </c>
      <c r="N29" s="42" t="inlineStr">
        <is>
          <t>Ngô Thành Đạt</t>
        </is>
      </c>
      <c r="O29" s="42" t="inlineStr">
        <is>
          <t>archive 200, patch 409, restore 200</t>
        </is>
      </c>
    </row>
    <row r="30">
      <c r="A30" s="161" t="inlineStr">
        <is>
          <t>Transfer ownership</t>
        </is>
      </c>
      <c r="B30" s="161" t="n"/>
      <c r="C30" s="161" t="n"/>
      <c r="D30" s="161" t="n"/>
      <c r="E30" s="161" t="n"/>
      <c r="F30" s="161" t="n"/>
      <c r="G30" s="161" t="n"/>
      <c r="H30" s="161" t="n"/>
      <c r="I30" s="161" t="n"/>
      <c r="J30" s="161" t="n"/>
      <c r="K30" s="161" t="n"/>
      <c r="L30" s="161" t="n"/>
      <c r="M30" s="161" t="n"/>
      <c r="N30" s="161" t="n"/>
      <c r="O30" s="161" t="n"/>
    </row>
    <row r="31">
      <c r="A31" s="42" t="inlineStr">
        <is>
          <t>ST-PRJ-13</t>
        </is>
      </c>
      <c r="B31" s="42" t="inlineStr">
        <is>
          <t>Hand the project to an active member</t>
        </is>
      </c>
      <c r="C31" s="42" t="inlineStr">
        <is>
          <t>1. POST /transfer-ownership with the Researcher id</t>
        </is>
      </c>
      <c r="D31" s="42" t="inlineStr">
        <is>
          <t>Owner changed</t>
        </is>
      </c>
      <c r="E31" s="42" t="inlineStr">
        <is>
          <t>Researcher is an active member</t>
        </is>
      </c>
      <c r="F31" s="42" t="inlineStr">
        <is>
          <t>Passed</t>
        </is>
      </c>
      <c r="G31" s="162" t="n">
        <v>46325</v>
      </c>
      <c r="H31" s="42" t="inlineStr">
        <is>
          <t>Ngô Thành Đạt</t>
        </is>
      </c>
      <c r="I31" s="42" t="inlineStr">
        <is>
          <t>Passed</t>
        </is>
      </c>
      <c r="J31" s="162" t="n">
        <v>46325</v>
      </c>
      <c r="K31" s="42" t="inlineStr">
        <is>
          <t>Ngô Thành Đạt</t>
        </is>
      </c>
      <c r="L31" s="42" t="inlineStr">
        <is>
          <t>Passed</t>
        </is>
      </c>
      <c r="M31" s="162" t="n">
        <v>46325</v>
      </c>
      <c r="N31" s="42" t="inlineStr">
        <is>
          <t>Ngô Thành Đạt</t>
        </is>
      </c>
      <c r="O31" s="42" t="inlineStr">
        <is>
          <t>HTTP 200</t>
        </is>
      </c>
    </row>
    <row r="32">
      <c r="A32" s="161" t="inlineStr">
        <is>
          <t>Delete project</t>
        </is>
      </c>
      <c r="B32" s="161" t="n"/>
      <c r="C32" s="161" t="n"/>
      <c r="D32" s="161" t="n"/>
      <c r="E32" s="161" t="n"/>
      <c r="F32" s="161" t="n"/>
      <c r="G32" s="161" t="n"/>
      <c r="H32" s="161" t="n"/>
      <c r="I32" s="161" t="n"/>
      <c r="J32" s="161" t="n"/>
      <c r="K32" s="161" t="n"/>
      <c r="L32" s="161" t="n"/>
      <c r="M32" s="161" t="n"/>
      <c r="N32" s="161" t="n"/>
      <c r="O32" s="161" t="n"/>
    </row>
    <row r="33">
      <c r="A33" s="42" t="inlineStr">
        <is>
          <t>ST-PRJ-14</t>
        </is>
      </c>
      <c r="B33" s="42" t="inlineStr">
        <is>
          <t>Delete the project</t>
        </is>
      </c>
      <c r="C33" s="42" t="inlineStr">
        <is>
          <t>1. As new owner DELETE /projects/{id}
2. GET the project</t>
        </is>
      </c>
      <c r="D33" s="42" t="inlineStr">
        <is>
          <t>Project and its data removed</t>
        </is>
      </c>
      <c r="E33" s="42" t="inlineStr">
        <is>
          <t>Caller is owner</t>
        </is>
      </c>
      <c r="F33" s="42" t="inlineStr">
        <is>
          <t>Passed</t>
        </is>
      </c>
      <c r="G33" s="162" t="n">
        <v>46325</v>
      </c>
      <c r="H33" s="42" t="inlineStr">
        <is>
          <t>Ngô Thành Đạt</t>
        </is>
      </c>
      <c r="I33" s="42" t="inlineStr">
        <is>
          <t>Passed</t>
        </is>
      </c>
      <c r="J33" s="162" t="n">
        <v>46325</v>
      </c>
      <c r="K33" s="42" t="inlineStr">
        <is>
          <t>Ngô Thành Đạt</t>
        </is>
      </c>
      <c r="L33" s="42" t="inlineStr">
        <is>
          <t>Passed</t>
        </is>
      </c>
      <c r="M33" s="162" t="n">
        <v>46325</v>
      </c>
      <c r="N33" s="42" t="inlineStr">
        <is>
          <t>Ngô Thành Đạt</t>
        </is>
      </c>
      <c r="O33" s="42" t="inlineStr">
        <is>
          <t>delete 200, get 404</t>
        </is>
      </c>
    </row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R21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48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Data Management</t>
        </is>
      </c>
      <c r="C2" s="157" t="n"/>
      <c r="D2" s="157" t="n"/>
      <c r="E2" s="158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Dataset upload, versions, preview, download and access rules (FE-03; UC-06).</t>
        </is>
      </c>
      <c r="C3" s="159" t="n"/>
      <c r="D3" s="159" t="n"/>
      <c r="E3" s="160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COUNTIF(A12:A21,"ST-*")</f>
        <v/>
      </c>
      <c r="C4" s="159" t="n"/>
      <c r="D4" s="159" t="n"/>
      <c r="E4" s="160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COUNTIF($F$12:$F$21,B$5)</f>
        <v/>
      </c>
      <c r="C6" s="92">
        <f>COUNTIF($F$12:$F$21,C$5)</f>
        <v/>
      </c>
      <c r="D6" s="92">
        <f>COUNTIF($F$12:$F$21,D$5)</f>
        <v/>
      </c>
      <c r="E6" s="98">
        <f>COUNTIF($F$12:$F$21,E$5)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COUNTIF($I$12:$I$21,B$5)</f>
        <v/>
      </c>
      <c r="C7" s="92">
        <f>COUNTIF($I$12:$I$21,C$5)</f>
        <v/>
      </c>
      <c r="D7" s="92">
        <f>COUNTIF($I$12:$I$21,D$5)</f>
        <v/>
      </c>
      <c r="E7" s="98">
        <f>COUNTIF($I$12:$I$21,E$5)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COUNTIF($L$12:$L$21,B$5)</f>
        <v/>
      </c>
      <c r="C8" s="96">
        <f>COUNTIF($L$12:$L$21,C$5)</f>
        <v/>
      </c>
      <c r="D8" s="96">
        <f>COUNTIF($L$12:$L$21,D$5)</f>
        <v/>
      </c>
      <c r="E8" s="97">
        <f>COUNTIF($L$12:$L$21,E$5)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customFormat="1" s="32">
      <c r="A11" s="161" t="inlineStr">
        <is>
          <t>Upload dataset</t>
        </is>
      </c>
      <c r="B11" s="161" t="n"/>
      <c r="C11" s="161" t="n"/>
      <c r="D11" s="161" t="n"/>
      <c r="E11" s="161" t="n"/>
      <c r="F11" s="161" t="n"/>
      <c r="G11" s="161" t="n"/>
      <c r="H11" s="161" t="n"/>
      <c r="I11" s="161" t="n"/>
      <c r="J11" s="161" t="n"/>
      <c r="K11" s="161" t="n"/>
      <c r="L11" s="161" t="n"/>
      <c r="M11" s="161" t="n"/>
      <c r="N11" s="161" t="n"/>
      <c r="O11" s="161" t="n"/>
      <c r="Q11" s="41" t="n"/>
    </row>
    <row r="12" outlineLevel="1" customFormat="1" s="47">
      <c r="A12" s="42" t="inlineStr">
        <is>
          <t>ST-DS-01</t>
        </is>
      </c>
      <c r="B12" s="42" t="inlineStr">
        <is>
          <t>Upload a valid CSV file</t>
        </is>
      </c>
      <c r="C12" s="42" t="inlineStr">
        <is>
          <t>1. POST /projects/{id}/datasets with name and a 60-row CSV</t>
        </is>
      </c>
      <c r="D12" s="42" t="inlineStr">
        <is>
          <t>Dataset and version 1 created</t>
        </is>
      </c>
      <c r="E12" s="42" t="inlineStr">
        <is>
          <t>Signed in as Researcher</t>
        </is>
      </c>
      <c r="F12" s="42" t="inlineStr">
        <is>
          <t>Passed</t>
        </is>
      </c>
      <c r="G12" s="162" t="n">
        <v>46325</v>
      </c>
      <c r="H12" s="42" t="inlineStr">
        <is>
          <t>Ngô Thành Đạt</t>
        </is>
      </c>
      <c r="I12" s="42" t="inlineStr">
        <is>
          <t>Passed</t>
        </is>
      </c>
      <c r="J12" s="162" t="n">
        <v>46325</v>
      </c>
      <c r="K12" s="42" t="inlineStr">
        <is>
          <t>Ngô Thành Đạt</t>
        </is>
      </c>
      <c r="L12" s="42" t="inlineStr">
        <is>
          <t>Passed</t>
        </is>
      </c>
      <c r="M12" s="162" t="n">
        <v>46325</v>
      </c>
      <c r="N12" s="42" t="inlineStr">
        <is>
          <t>Ngô Thành Đạt</t>
        </is>
      </c>
      <c r="O12" s="42" t="inlineStr">
        <is>
          <t>HTTP 201</t>
        </is>
      </c>
      <c r="Q12" s="46" t="n"/>
    </row>
    <row r="13" outlineLevel="1">
      <c r="A13" s="42" t="inlineStr">
        <is>
          <t>ST-DS-02</t>
        </is>
      </c>
      <c r="B13" s="42" t="inlineStr">
        <is>
          <t>Upload a file in an unsupported format</t>
        </is>
      </c>
      <c r="C13" s="42" t="inlineStr">
        <is>
          <t>1. POST datasets with a binary .exe file</t>
        </is>
      </c>
      <c r="D13" s="42" t="inlineStr">
        <is>
          <t>Upload refused; nothing stored</t>
        </is>
      </c>
      <c r="E13" s="42" t="inlineStr">
        <is>
          <t>Signed in as Researcher</t>
        </is>
      </c>
      <c r="F13" s="42" t="inlineStr">
        <is>
          <t>Passed</t>
        </is>
      </c>
      <c r="G13" s="162" t="n">
        <v>46325</v>
      </c>
      <c r="H13" s="42" t="inlineStr">
        <is>
          <t>Ngô Thành Đạt</t>
        </is>
      </c>
      <c r="I13" s="42" t="inlineStr">
        <is>
          <t>Passed</t>
        </is>
      </c>
      <c r="J13" s="162" t="n">
        <v>46325</v>
      </c>
      <c r="K13" s="42" t="inlineStr">
        <is>
          <t>Ngô Thành Đạt</t>
        </is>
      </c>
      <c r="L13" s="42" t="inlineStr">
        <is>
          <t>Passed</t>
        </is>
      </c>
      <c r="M13" s="162" t="n">
        <v>46325</v>
      </c>
      <c r="N13" s="42" t="inlineStr">
        <is>
          <t>Ngô Thành Đạt</t>
        </is>
      </c>
      <c r="O13" s="42" t="inlineStr">
        <is>
          <t>HTTP 415</t>
        </is>
      </c>
      <c r="Q13" s="46" t="n"/>
    </row>
    <row r="14" outlineLevel="1">
      <c r="A14" s="42" t="inlineStr">
        <is>
          <t>ST-DS-06</t>
        </is>
      </c>
      <c r="B14" s="42" t="inlineStr">
        <is>
          <t>A non-member uploads a dataset</t>
        </is>
      </c>
      <c r="C14" s="42" t="inlineStr">
        <is>
          <t>1. As outsider POST datasets</t>
        </is>
      </c>
      <c r="D14" s="42" t="inlineStr">
        <is>
          <t>Refused (403/404)</t>
        </is>
      </c>
      <c r="E14" s="42" t="inlineStr">
        <is>
          <t>Project exists</t>
        </is>
      </c>
      <c r="F14" s="42" t="inlineStr">
        <is>
          <t>Passed</t>
        </is>
      </c>
      <c r="G14" s="162" t="n">
        <v>46325</v>
      </c>
      <c r="H14" s="42" t="inlineStr">
        <is>
          <t>Ngô Thành Đạt</t>
        </is>
      </c>
      <c r="I14" s="42" t="inlineStr">
        <is>
          <t>Passed</t>
        </is>
      </c>
      <c r="J14" s="162" t="n">
        <v>46325</v>
      </c>
      <c r="K14" s="42" t="inlineStr">
        <is>
          <t>Ngô Thành Đạt</t>
        </is>
      </c>
      <c r="L14" s="42" t="inlineStr">
        <is>
          <t>Passed</t>
        </is>
      </c>
      <c r="M14" s="162" t="n">
        <v>46325</v>
      </c>
      <c r="N14" s="42" t="inlineStr">
        <is>
          <t>Ngô Thành Đạt</t>
        </is>
      </c>
      <c r="O14" s="42" t="inlineStr">
        <is>
          <t>HTTP 404</t>
        </is>
      </c>
      <c r="Q14" s="46" t="n"/>
    </row>
    <row r="15" customFormat="1" s="32">
      <c r="A15" s="161" t="inlineStr">
        <is>
          <t>Upload new dataset version</t>
        </is>
      </c>
      <c r="B15" s="161" t="n"/>
      <c r="C15" s="161" t="n"/>
      <c r="D15" s="161" t="n"/>
      <c r="E15" s="161" t="n"/>
      <c r="F15" s="161" t="n"/>
      <c r="G15" s="161" t="n"/>
      <c r="H15" s="161" t="n"/>
      <c r="I15" s="161" t="n"/>
      <c r="J15" s="161" t="n"/>
      <c r="K15" s="161" t="n"/>
      <c r="L15" s="161" t="n"/>
      <c r="M15" s="161" t="n"/>
      <c r="N15" s="161" t="n"/>
      <c r="O15" s="161" t="n"/>
      <c r="Q15" s="41" t="n"/>
    </row>
    <row r="16" outlineLevel="1">
      <c r="A16" s="42" t="inlineStr">
        <is>
          <t>ST-DS-03</t>
        </is>
      </c>
      <c r="B16" s="42" t="inlineStr">
        <is>
          <t>Upload a second version</t>
        </is>
      </c>
      <c r="C16" s="42" t="inlineStr">
        <is>
          <t>1. POST /datasets/{id}/versions with a new CSV
2. GET versions</t>
        </is>
      </c>
      <c r="D16" s="42" t="inlineStr">
        <is>
          <t>Two versions; version 1 unchanged</t>
        </is>
      </c>
      <c r="E16" s="42" t="inlineStr">
        <is>
          <t>Dataset exists</t>
        </is>
      </c>
      <c r="F16" s="42" t="inlineStr">
        <is>
          <t>Passed</t>
        </is>
      </c>
      <c r="G16" s="162" t="n">
        <v>46325</v>
      </c>
      <c r="H16" s="42" t="inlineStr">
        <is>
          <t>Ngô Thành Đạt</t>
        </is>
      </c>
      <c r="I16" s="42" t="inlineStr">
        <is>
          <t>Passed</t>
        </is>
      </c>
      <c r="J16" s="162" t="n">
        <v>46325</v>
      </c>
      <c r="K16" s="42" t="inlineStr">
        <is>
          <t>Ngô Thành Đạt</t>
        </is>
      </c>
      <c r="L16" s="42" t="inlineStr">
        <is>
          <t>Passed</t>
        </is>
      </c>
      <c r="M16" s="162" t="n">
        <v>46325</v>
      </c>
      <c r="N16" s="42" t="inlineStr">
        <is>
          <t>Ngô Thành Đạt</t>
        </is>
      </c>
      <c r="O16" s="42" t="inlineStr">
        <is>
          <t>HTTP 201, 2 versions</t>
        </is>
      </c>
      <c r="Q16" s="46" t="n"/>
    </row>
    <row r="17" outlineLevel="1">
      <c r="A17" s="161" t="inlineStr">
        <is>
          <t>View dataset detail</t>
        </is>
      </c>
      <c r="B17" s="161" t="n"/>
      <c r="C17" s="161" t="n"/>
      <c r="D17" s="161" t="n"/>
      <c r="E17" s="161" t="n"/>
      <c r="F17" s="161" t="n"/>
      <c r="G17" s="161" t="n"/>
      <c r="H17" s="161" t="n"/>
      <c r="I17" s="161" t="n"/>
      <c r="J17" s="161" t="n"/>
      <c r="K17" s="161" t="n"/>
      <c r="L17" s="161" t="n"/>
      <c r="M17" s="161" t="n"/>
      <c r="N17" s="161" t="n"/>
      <c r="O17" s="161" t="n"/>
      <c r="Q17" s="51" t="n"/>
    </row>
    <row r="18" customFormat="1" s="32">
      <c r="A18" s="42" t="inlineStr">
        <is>
          <t>ST-DS-04</t>
        </is>
      </c>
      <c r="B18" s="42" t="inlineStr">
        <is>
          <t>Preview a dataset version</t>
        </is>
      </c>
      <c r="C18" s="42" t="inlineStr">
        <is>
          <t>1. GET /datasets/{id}/versions/{v}/preview</t>
        </is>
      </c>
      <c r="D18" s="42" t="inlineStr">
        <is>
          <t>Columns and first rows shown</t>
        </is>
      </c>
      <c r="E18" s="42" t="inlineStr">
        <is>
          <t>Version exists</t>
        </is>
      </c>
      <c r="F18" s="42" t="inlineStr">
        <is>
          <t>Passed</t>
        </is>
      </c>
      <c r="G18" s="162" t="n">
        <v>46325</v>
      </c>
      <c r="H18" s="42" t="inlineStr">
        <is>
          <t>Ngô Thành Đạt</t>
        </is>
      </c>
      <c r="I18" s="42" t="inlineStr">
        <is>
          <t>Passed</t>
        </is>
      </c>
      <c r="J18" s="162" t="n">
        <v>46325</v>
      </c>
      <c r="K18" s="42" t="inlineStr">
        <is>
          <t>Ngô Thành Đạt</t>
        </is>
      </c>
      <c r="L18" s="42" t="inlineStr">
        <is>
          <t>Passed</t>
        </is>
      </c>
      <c r="M18" s="162" t="n">
        <v>46325</v>
      </c>
      <c r="N18" s="42" t="inlineStr">
        <is>
          <t>Ngô Thành Đạt</t>
        </is>
      </c>
      <c r="O18" s="42" t="inlineStr">
        <is>
          <t>HTTP 200</t>
        </is>
      </c>
      <c r="Q18" s="41" t="n"/>
    </row>
    <row r="19" outlineLevel="1">
      <c r="A19" s="42" t="inlineStr">
        <is>
          <t>ST-DS-05</t>
        </is>
      </c>
      <c r="B19" s="42" t="inlineStr">
        <is>
          <t>Download a dataset version</t>
        </is>
      </c>
      <c r="C19" s="42" t="inlineStr">
        <is>
          <t>1. GET /versions/{v}/download</t>
        </is>
      </c>
      <c r="D19" s="42" t="inlineStr">
        <is>
          <t>File downloads as attachment</t>
        </is>
      </c>
      <c r="E19" s="42" t="inlineStr">
        <is>
          <t>Version exists</t>
        </is>
      </c>
      <c r="F19" s="42" t="inlineStr">
        <is>
          <t>Passed</t>
        </is>
      </c>
      <c r="G19" s="162" t="n">
        <v>46325</v>
      </c>
      <c r="H19" s="42" t="inlineStr">
        <is>
          <t>Ngô Thành Đạt</t>
        </is>
      </c>
      <c r="I19" s="42" t="inlineStr">
        <is>
          <t>Passed</t>
        </is>
      </c>
      <c r="J19" s="162" t="n">
        <v>46325</v>
      </c>
      <c r="K19" s="42" t="inlineStr">
        <is>
          <t>Ngô Thành Đạt</t>
        </is>
      </c>
      <c r="L19" s="42" t="inlineStr">
        <is>
          <t>Passed</t>
        </is>
      </c>
      <c r="M19" s="162" t="n">
        <v>46325</v>
      </c>
      <c r="N19" s="42" t="inlineStr">
        <is>
          <t>Ngô Thành Đạt</t>
        </is>
      </c>
      <c r="O19" s="42" t="inlineStr">
        <is>
          <t>HTTP 200, 784 bytes</t>
        </is>
      </c>
      <c r="Q19" s="46" t="n"/>
    </row>
    <row r="20">
      <c r="A20" s="161" t="inlineStr">
        <is>
          <t>Rename or delete dataset</t>
        </is>
      </c>
      <c r="B20" s="161" t="n"/>
      <c r="C20" s="161" t="n"/>
      <c r="D20" s="161" t="n"/>
      <c r="E20" s="161" t="n"/>
      <c r="F20" s="161" t="n"/>
      <c r="G20" s="161" t="n"/>
      <c r="H20" s="161" t="n"/>
      <c r="I20" s="161" t="n"/>
      <c r="J20" s="161" t="n"/>
      <c r="K20" s="161" t="n"/>
      <c r="L20" s="161" t="n"/>
      <c r="M20" s="161" t="n"/>
      <c r="N20" s="161" t="n"/>
      <c r="O20" s="161" t="n"/>
    </row>
    <row r="21">
      <c r="A21" s="42" t="inlineStr">
        <is>
          <t>ST-DS-07</t>
        </is>
      </c>
      <c r="B21" s="42" t="inlineStr">
        <is>
          <t>Rename a dataset</t>
        </is>
      </c>
      <c r="C21" s="42" t="inlineStr">
        <is>
          <t>1. PATCH /datasets/{id} with a new name</t>
        </is>
      </c>
      <c r="D21" s="42" t="inlineStr">
        <is>
          <t>Name saved</t>
        </is>
      </c>
      <c r="E21" s="42" t="inlineStr">
        <is>
          <t>Dataset exists</t>
        </is>
      </c>
      <c r="F21" s="42" t="inlineStr">
        <is>
          <t>Passed</t>
        </is>
      </c>
      <c r="G21" s="162" t="n">
        <v>46325</v>
      </c>
      <c r="H21" s="42" t="inlineStr">
        <is>
          <t>Ngô Thành Đạt</t>
        </is>
      </c>
      <c r="I21" s="42" t="inlineStr">
        <is>
          <t>Passed</t>
        </is>
      </c>
      <c r="J21" s="162" t="n">
        <v>46325</v>
      </c>
      <c r="K21" s="42" t="inlineStr">
        <is>
          <t>Ngô Thành Đạt</t>
        </is>
      </c>
      <c r="L21" s="42" t="inlineStr">
        <is>
          <t>Passed</t>
        </is>
      </c>
      <c r="M21" s="162" t="n">
        <v>46325</v>
      </c>
      <c r="N21" s="42" t="inlineStr">
        <is>
          <t>Ngô Thành Đạt</t>
        </is>
      </c>
      <c r="O21" s="42" t="inlineStr">
        <is>
          <t>HTTP 200</t>
        </is>
      </c>
    </row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R20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48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Data Connections &amp; Integrations</t>
        </is>
      </c>
      <c r="C2" s="157" t="n"/>
      <c r="D2" s="157" t="n"/>
      <c r="E2" s="158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External data connections and webhook integrations (FE-03; UC-07).</t>
        </is>
      </c>
      <c r="C3" s="159" t="n"/>
      <c r="D3" s="159" t="n"/>
      <c r="E3" s="160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COUNTIF(A12:A20,"ST-*")</f>
        <v/>
      </c>
      <c r="C4" s="159" t="n"/>
      <c r="D4" s="159" t="n"/>
      <c r="E4" s="160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COUNTIF($F$12:$F$20,B$5)</f>
        <v/>
      </c>
      <c r="C6" s="92">
        <f>COUNTIF($F$12:$F$20,C$5)</f>
        <v/>
      </c>
      <c r="D6" s="92">
        <f>COUNTIF($F$12:$F$20,D$5)</f>
        <v/>
      </c>
      <c r="E6" s="98">
        <f>COUNTIF($F$12:$F$20,E$5)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COUNTIF($I$12:$I$20,B$5)</f>
        <v/>
      </c>
      <c r="C7" s="92">
        <f>COUNTIF($I$12:$I$20,C$5)</f>
        <v/>
      </c>
      <c r="D7" s="92">
        <f>COUNTIF($I$12:$I$20,D$5)</f>
        <v/>
      </c>
      <c r="E7" s="98">
        <f>COUNTIF($I$12:$I$20,E$5)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COUNTIF($L$12:$L$20,B$5)</f>
        <v/>
      </c>
      <c r="C8" s="96">
        <f>COUNTIF($L$12:$L$20,C$5)</f>
        <v/>
      </c>
      <c r="D8" s="96">
        <f>COUNTIF($L$12:$L$20,D$5)</f>
        <v/>
      </c>
      <c r="E8" s="97">
        <f>COUNTIF($L$12:$L$20,E$5)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customFormat="1" s="32">
      <c r="A11" s="161" t="inlineStr">
        <is>
          <t>Manage data connection and import</t>
        </is>
      </c>
      <c r="B11" s="161" t="n"/>
      <c r="C11" s="161" t="n"/>
      <c r="D11" s="161" t="n"/>
      <c r="E11" s="161" t="n"/>
      <c r="F11" s="161" t="n"/>
      <c r="G11" s="161" t="n"/>
      <c r="H11" s="161" t="n"/>
      <c r="I11" s="161" t="n"/>
      <c r="J11" s="161" t="n"/>
      <c r="K11" s="161" t="n"/>
      <c r="L11" s="161" t="n"/>
      <c r="M11" s="161" t="n"/>
      <c r="N11" s="161" t="n"/>
      <c r="O11" s="161" t="n"/>
      <c r="Q11" s="41" t="n"/>
    </row>
    <row r="12" outlineLevel="1" customFormat="1" s="47">
      <c r="A12" s="42" t="inlineStr">
        <is>
          <t>ST-CN-01</t>
        </is>
      </c>
      <c r="B12" s="42" t="inlineStr">
        <is>
          <t>Connect to a reachable PostgreSQL</t>
        </is>
      </c>
      <c r="C12" s="42" t="inlineStr">
        <is>
          <t>1. POST /connections kind postgres, host db, valid credentials</t>
        </is>
      </c>
      <c r="D12" s="42" t="inlineStr">
        <is>
          <t>Connection tested and saved</t>
        </is>
      </c>
      <c r="E12" s="42" t="inlineStr">
        <is>
          <t>Project Manager; local PostgreSQL running</t>
        </is>
      </c>
      <c r="F12" s="42" t="inlineStr">
        <is>
          <t>Passed</t>
        </is>
      </c>
      <c r="G12" s="162" t="n">
        <v>46325</v>
      </c>
      <c r="H12" s="42" t="inlineStr">
        <is>
          <t>Ngô Thành Đạt</t>
        </is>
      </c>
      <c r="I12" s="42" t="inlineStr">
        <is>
          <t>Passed</t>
        </is>
      </c>
      <c r="J12" s="162" t="n">
        <v>46325</v>
      </c>
      <c r="K12" s="42" t="inlineStr">
        <is>
          <t>Ngô Thành Đạt</t>
        </is>
      </c>
      <c r="L12" s="42" t="inlineStr">
        <is>
          <t>Passed</t>
        </is>
      </c>
      <c r="M12" s="162" t="n">
        <v>46325</v>
      </c>
      <c r="N12" s="42" t="inlineStr">
        <is>
          <t>Ngô Thành Đạt</t>
        </is>
      </c>
      <c r="O12" s="42" t="inlineStr">
        <is>
          <t>HTTP 201</t>
        </is>
      </c>
      <c r="Q12" s="46" t="n"/>
    </row>
    <row r="13" outlineLevel="1">
      <c r="A13" s="42" t="inlineStr">
        <is>
          <t>ST-CN-02</t>
        </is>
      </c>
      <c r="B13" s="42" t="inlineStr">
        <is>
          <t>Connect with a wrong password</t>
        </is>
      </c>
      <c r="C13" s="42" t="inlineStr">
        <is>
          <t>1. POST /connections with a wrong password</t>
        </is>
      </c>
      <c r="D13" s="42" t="inlineStr">
        <is>
          <t>Error shown; nothing saved</t>
        </is>
      </c>
      <c r="E13" s="42" t="inlineStr">
        <is>
          <t>Project Manager</t>
        </is>
      </c>
      <c r="F13" s="42" t="inlineStr">
        <is>
          <t>Passed</t>
        </is>
      </c>
      <c r="G13" s="162" t="n">
        <v>46325</v>
      </c>
      <c r="H13" s="42" t="inlineStr">
        <is>
          <t>Ngô Thành Đạt</t>
        </is>
      </c>
      <c r="I13" s="42" t="inlineStr">
        <is>
          <t>Passed</t>
        </is>
      </c>
      <c r="J13" s="162" t="n">
        <v>46325</v>
      </c>
      <c r="K13" s="42" t="inlineStr">
        <is>
          <t>Ngô Thành Đạt</t>
        </is>
      </c>
      <c r="L13" s="42" t="inlineStr">
        <is>
          <t>Passed</t>
        </is>
      </c>
      <c r="M13" s="162" t="n">
        <v>46325</v>
      </c>
      <c r="N13" s="42" t="inlineStr">
        <is>
          <t>Ngô Thành Đạt</t>
        </is>
      </c>
      <c r="O13" s="42" t="inlineStr">
        <is>
          <t>HTTP 422, connections 1-&gt;1</t>
        </is>
      </c>
      <c r="Q13" s="46" t="n"/>
    </row>
    <row r="14" outlineLevel="1">
      <c r="A14" s="42" t="inlineStr">
        <is>
          <t>ST-CN-03</t>
        </is>
      </c>
      <c r="B14" s="42" t="inlineStr">
        <is>
          <t>Paste text into the host field</t>
        </is>
      </c>
      <c r="C14" s="42" t="inlineStr">
        <is>
          <t>1. POST /connections with host "db; DROP TABLE x"</t>
        </is>
      </c>
      <c r="D14" s="42" t="inlineStr">
        <is>
          <t>Validation error; nothing saved</t>
        </is>
      </c>
      <c r="E14" s="42" t="inlineStr">
        <is>
          <t>Project Manager</t>
        </is>
      </c>
      <c r="F14" s="42" t="inlineStr">
        <is>
          <t>Passed</t>
        </is>
      </c>
      <c r="G14" s="162" t="n">
        <v>46325</v>
      </c>
      <c r="H14" s="42" t="inlineStr">
        <is>
          <t>Ngô Thành Đạt</t>
        </is>
      </c>
      <c r="I14" s="42" t="inlineStr">
        <is>
          <t>Passed</t>
        </is>
      </c>
      <c r="J14" s="162" t="n">
        <v>46325</v>
      </c>
      <c r="K14" s="42" t="inlineStr">
        <is>
          <t>Ngô Thành Đạt</t>
        </is>
      </c>
      <c r="L14" s="42" t="inlineStr">
        <is>
          <t>Passed</t>
        </is>
      </c>
      <c r="M14" s="162" t="n">
        <v>46325</v>
      </c>
      <c r="N14" s="42" t="inlineStr">
        <is>
          <t>Ngô Thành Đạt</t>
        </is>
      </c>
      <c r="O14" s="42" t="inlineStr">
        <is>
          <t>HTTP 422</t>
        </is>
      </c>
      <c r="Q14" s="46" t="n"/>
    </row>
    <row r="15" customFormat="1" s="32">
      <c r="A15" s="42" t="inlineStr">
        <is>
          <t>ST-CN-04</t>
        </is>
      </c>
      <c r="B15" s="42" t="inlineStr">
        <is>
          <t>Browse tables of a connection</t>
        </is>
      </c>
      <c r="C15" s="42" t="inlineStr">
        <is>
          <t>1. GET /connections/{id}/tables</t>
        </is>
      </c>
      <c r="D15" s="42" t="inlineStr">
        <is>
          <t>Tables of the source listed</t>
        </is>
      </c>
      <c r="E15" s="42" t="inlineStr">
        <is>
          <t>Connection saved</t>
        </is>
      </c>
      <c r="F15" s="42" t="inlineStr">
        <is>
          <t>Passed</t>
        </is>
      </c>
      <c r="G15" s="162" t="n">
        <v>46325</v>
      </c>
      <c r="H15" s="42" t="inlineStr">
        <is>
          <t>Ngô Thành Đạt</t>
        </is>
      </c>
      <c r="I15" s="42" t="inlineStr">
        <is>
          <t>Passed</t>
        </is>
      </c>
      <c r="J15" s="162" t="n">
        <v>46325</v>
      </c>
      <c r="K15" s="42" t="inlineStr">
        <is>
          <t>Ngô Thành Đạt</t>
        </is>
      </c>
      <c r="L15" s="42" t="inlineStr">
        <is>
          <t>Passed</t>
        </is>
      </c>
      <c r="M15" s="162" t="n">
        <v>46325</v>
      </c>
      <c r="N15" s="42" t="inlineStr">
        <is>
          <t>Ngô Thành Đạt</t>
        </is>
      </c>
      <c r="O15" s="42" t="inlineStr">
        <is>
          <t>HTTP 200</t>
        </is>
      </c>
      <c r="Q15" s="41" t="n"/>
    </row>
    <row r="16" outlineLevel="1">
      <c r="A16" s="42" t="inlineStr">
        <is>
          <t>ST-CN-05</t>
        </is>
      </c>
      <c r="B16" s="42" t="inlineStr">
        <is>
          <t>The response never shows the password</t>
        </is>
      </c>
      <c r="C16" s="42" t="inlineStr">
        <is>
          <t>1. GET /connections/{id}
2. Search the body for the password</t>
        </is>
      </c>
      <c r="D16" s="42" t="inlineStr">
        <is>
          <t>Password not in any response</t>
        </is>
      </c>
      <c r="E16" s="42" t="inlineStr">
        <is>
          <t>Connection saved</t>
        </is>
      </c>
      <c r="F16" s="42" t="inlineStr">
        <is>
          <t>Passed</t>
        </is>
      </c>
      <c r="G16" s="162" t="n">
        <v>46325</v>
      </c>
      <c r="H16" s="42" t="inlineStr">
        <is>
          <t>Ngô Thành Đạt</t>
        </is>
      </c>
      <c r="I16" s="42" t="inlineStr">
        <is>
          <t>Passed</t>
        </is>
      </c>
      <c r="J16" s="162" t="n">
        <v>46325</v>
      </c>
      <c r="K16" s="42" t="inlineStr">
        <is>
          <t>Ngô Thành Đạt</t>
        </is>
      </c>
      <c r="L16" s="42" t="inlineStr">
        <is>
          <t>Passed</t>
        </is>
      </c>
      <c r="M16" s="162" t="n">
        <v>46325</v>
      </c>
      <c r="N16" s="42" t="inlineStr">
        <is>
          <t>Ngô Thành Đạt</t>
        </is>
      </c>
      <c r="O16" s="42" t="inlineStr">
        <is>
          <t>HTTP 200</t>
        </is>
      </c>
      <c r="Q16" s="46" t="n"/>
    </row>
    <row r="17" outlineLevel="1">
      <c r="A17" s="42" t="inlineStr">
        <is>
          <t>ST-CN-08</t>
        </is>
      </c>
      <c r="B17" s="42" t="inlineStr">
        <is>
          <t>Delete a connection</t>
        </is>
      </c>
      <c r="C17" s="42" t="inlineStr">
        <is>
          <t>1. DELETE /connections/{id}</t>
        </is>
      </c>
      <c r="D17" s="42" t="inlineStr">
        <is>
          <t>Connection removed</t>
        </is>
      </c>
      <c r="E17" s="42" t="inlineStr">
        <is>
          <t>Connection saved</t>
        </is>
      </c>
      <c r="F17" s="42" t="inlineStr">
        <is>
          <t>Passed</t>
        </is>
      </c>
      <c r="G17" s="162" t="n">
        <v>46325</v>
      </c>
      <c r="H17" s="42" t="inlineStr">
        <is>
          <t>Ngô Thành Đạt</t>
        </is>
      </c>
      <c r="I17" s="42" t="inlineStr">
        <is>
          <t>Passed</t>
        </is>
      </c>
      <c r="J17" s="162" t="n">
        <v>46325</v>
      </c>
      <c r="K17" s="42" t="inlineStr">
        <is>
          <t>Ngô Thành Đạt</t>
        </is>
      </c>
      <c r="L17" s="42" t="inlineStr">
        <is>
          <t>Passed</t>
        </is>
      </c>
      <c r="M17" s="162" t="n">
        <v>46325</v>
      </c>
      <c r="N17" s="42" t="inlineStr">
        <is>
          <t>Ngô Thành Đạt</t>
        </is>
      </c>
      <c r="O17" s="42" t="inlineStr">
        <is>
          <t>HTTP 200</t>
        </is>
      </c>
      <c r="Q17" s="51" t="n"/>
    </row>
    <row r="18" customFormat="1" s="32">
      <c r="A18" s="161" t="inlineStr">
        <is>
          <t>Manage project integrations</t>
        </is>
      </c>
      <c r="B18" s="161" t="n"/>
      <c r="C18" s="161" t="n"/>
      <c r="D18" s="161" t="n"/>
      <c r="E18" s="161" t="n"/>
      <c r="F18" s="161" t="n"/>
      <c r="G18" s="161" t="n"/>
      <c r="H18" s="161" t="n"/>
      <c r="I18" s="161" t="n"/>
      <c r="J18" s="161" t="n"/>
      <c r="K18" s="161" t="n"/>
      <c r="L18" s="161" t="n"/>
      <c r="M18" s="161" t="n"/>
      <c r="N18" s="161" t="n"/>
      <c r="O18" s="161" t="n"/>
      <c r="Q18" s="41" t="n"/>
    </row>
    <row r="19" outlineLevel="1">
      <c r="A19" s="42" t="inlineStr">
        <is>
          <t>ST-CN-06</t>
        </is>
      </c>
      <c r="B19" s="42" t="inlineStr">
        <is>
          <t>Add a Slack webhook</t>
        </is>
      </c>
      <c r="C19" s="42" t="inlineStr">
        <is>
          <t>1. POST /integrations provider slack with a hooks.slack.com URL</t>
        </is>
      </c>
      <c r="D19" s="42" t="inlineStr">
        <is>
          <t>Integration saved</t>
        </is>
      </c>
      <c r="E19" s="42" t="inlineStr">
        <is>
          <t>Project Manager</t>
        </is>
      </c>
      <c r="F19" s="42" t="inlineStr">
        <is>
          <t>Passed</t>
        </is>
      </c>
      <c r="G19" s="162" t="n">
        <v>46325</v>
      </c>
      <c r="H19" s="42" t="inlineStr">
        <is>
          <t>Ngô Thành Đạt</t>
        </is>
      </c>
      <c r="I19" s="42" t="inlineStr">
        <is>
          <t>Passed</t>
        </is>
      </c>
      <c r="J19" s="162" t="n">
        <v>46325</v>
      </c>
      <c r="K19" s="42" t="inlineStr">
        <is>
          <t>Ngô Thành Đạt</t>
        </is>
      </c>
      <c r="L19" s="42" t="inlineStr">
        <is>
          <t>Passed</t>
        </is>
      </c>
      <c r="M19" s="162" t="n">
        <v>46325</v>
      </c>
      <c r="N19" s="42" t="inlineStr">
        <is>
          <t>Ngô Thành Đạt</t>
        </is>
      </c>
      <c r="O19" s="42" t="inlineStr">
        <is>
          <t>HTTP 201</t>
        </is>
      </c>
      <c r="Q19" s="46" t="n"/>
    </row>
    <row r="20">
      <c r="A20" s="42" t="inlineStr">
        <is>
          <t>ST-CN-07</t>
        </is>
      </c>
      <c r="B20" s="42" t="inlineStr">
        <is>
          <t>Add a webhook to an unknown host</t>
        </is>
      </c>
      <c r="C20" s="42" t="inlineStr">
        <is>
          <t>1. POST /integrations with https://evil.example/hook</t>
        </is>
      </c>
      <c r="D20" s="42" t="inlineStr">
        <is>
          <t>Validation error (422)</t>
        </is>
      </c>
      <c r="E20" s="42" t="inlineStr">
        <is>
          <t>Project Manager</t>
        </is>
      </c>
      <c r="F20" s="42" t="inlineStr">
        <is>
          <t>Passed</t>
        </is>
      </c>
      <c r="G20" s="162" t="n">
        <v>46325</v>
      </c>
      <c r="H20" s="42" t="inlineStr">
        <is>
          <t>Ngô Thành Đạt</t>
        </is>
      </c>
      <c r="I20" s="42" t="inlineStr">
        <is>
          <t>Passed</t>
        </is>
      </c>
      <c r="J20" s="162" t="n">
        <v>46325</v>
      </c>
      <c r="K20" s="42" t="inlineStr">
        <is>
          <t>Ngô Thành Đạt</t>
        </is>
      </c>
      <c r="L20" s="42" t="inlineStr">
        <is>
          <t>Passed</t>
        </is>
      </c>
      <c r="M20" s="162" t="n">
        <v>46325</v>
      </c>
      <c r="N20" s="42" t="inlineStr">
        <is>
          <t>Ngô Thành Đạt</t>
        </is>
      </c>
      <c r="O20" s="42" t="inlineStr">
        <is>
          <t>HTTP 422</t>
        </is>
      </c>
    </row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2:R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48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Local Node</t>
        </is>
      </c>
      <c r="C2" s="157" t="n"/>
      <c r="D2" s="157" t="n"/>
      <c r="E2" s="158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Pairing and revoking a Local Node runner (UC-08).</t>
        </is>
      </c>
      <c r="C3" s="159" t="n"/>
      <c r="D3" s="159" t="n"/>
      <c r="E3" s="160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COUNTIF(A12:A15,"ST-*")</f>
        <v/>
      </c>
      <c r="C4" s="159" t="n"/>
      <c r="D4" s="159" t="n"/>
      <c r="E4" s="160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COUNTIF($F$12:$F$15,B$5)</f>
        <v/>
      </c>
      <c r="C6" s="92">
        <f>COUNTIF($F$12:$F$15,C$5)</f>
        <v/>
      </c>
      <c r="D6" s="92">
        <f>COUNTIF($F$12:$F$15,D$5)</f>
        <v/>
      </c>
      <c r="E6" s="98">
        <f>COUNTIF($F$12:$F$15,E$5)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COUNTIF($I$12:$I$15,B$5)</f>
        <v/>
      </c>
      <c r="C7" s="92">
        <f>COUNTIF($I$12:$I$15,C$5)</f>
        <v/>
      </c>
      <c r="D7" s="92">
        <f>COUNTIF($I$12:$I$15,D$5)</f>
        <v/>
      </c>
      <c r="E7" s="98">
        <f>COUNTIF($I$12:$I$15,E$5)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COUNTIF($L$12:$L$15,B$5)</f>
        <v/>
      </c>
      <c r="C8" s="96">
        <f>COUNTIF($L$12:$L$15,C$5)</f>
        <v/>
      </c>
      <c r="D8" s="96">
        <f>COUNTIF($L$12:$L$15,D$5)</f>
        <v/>
      </c>
      <c r="E8" s="97">
        <f>COUNTIF($L$12:$L$15,E$5)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customFormat="1" s="32">
      <c r="A11" s="161" t="inlineStr">
        <is>
          <t>Pair a Local Node</t>
        </is>
      </c>
      <c r="B11" s="161" t="n"/>
      <c r="C11" s="161" t="n"/>
      <c r="D11" s="161" t="n"/>
      <c r="E11" s="161" t="n"/>
      <c r="F11" s="161" t="n"/>
      <c r="G11" s="161" t="n"/>
      <c r="H11" s="161" t="n"/>
      <c r="I11" s="161" t="n"/>
      <c r="J11" s="161" t="n"/>
      <c r="K11" s="161" t="n"/>
      <c r="L11" s="161" t="n"/>
      <c r="M11" s="161" t="n"/>
      <c r="N11" s="161" t="n"/>
      <c r="O11" s="161" t="n"/>
      <c r="Q11" s="41" t="n"/>
    </row>
    <row r="12" outlineLevel="1" customFormat="1" s="47">
      <c r="A12" s="42" t="inlineStr">
        <is>
          <t>ST-LN-01</t>
        </is>
      </c>
      <c r="B12" s="42" t="inlineStr">
        <is>
          <t>Create a runner and read its token once</t>
        </is>
      </c>
      <c r="C12" s="42" t="inlineStr">
        <is>
          <t>1. POST /runners with a name
2. GET /runners</t>
        </is>
      </c>
      <c r="D12" s="42" t="inlineStr">
        <is>
          <t>Token returned once; list does not show it</t>
        </is>
      </c>
      <c r="E12" s="42" t="inlineStr">
        <is>
          <t>Project Manager</t>
        </is>
      </c>
      <c r="F12" s="42" t="inlineStr">
        <is>
          <t>Passed</t>
        </is>
      </c>
      <c r="G12" s="162" t="n">
        <v>46325</v>
      </c>
      <c r="H12" s="42" t="inlineStr">
        <is>
          <t>Ngô Thành Đạt</t>
        </is>
      </c>
      <c r="I12" s="42" t="inlineStr">
        <is>
          <t>Passed</t>
        </is>
      </c>
      <c r="J12" s="162" t="n">
        <v>46325</v>
      </c>
      <c r="K12" s="42" t="inlineStr">
        <is>
          <t>Ngô Thành Đạt</t>
        </is>
      </c>
      <c r="L12" s="42" t="inlineStr">
        <is>
          <t>Passed</t>
        </is>
      </c>
      <c r="M12" s="162" t="n">
        <v>46325</v>
      </c>
      <c r="N12" s="42" t="inlineStr">
        <is>
          <t>Ngô Thành Đạt</t>
        </is>
      </c>
      <c r="O12" s="42" t="inlineStr">
        <is>
          <t>HTTP 201, list HTTP 200</t>
        </is>
      </c>
      <c r="Q12" s="46" t="n"/>
    </row>
    <row r="13" outlineLevel="1">
      <c r="A13" s="42" t="inlineStr">
        <is>
          <t>ST-LN-02</t>
        </is>
      </c>
      <c r="B13" s="42" t="inlineStr">
        <is>
          <t>A non-member creates a runner</t>
        </is>
      </c>
      <c r="C13" s="42" t="inlineStr">
        <is>
          <t>1. As outsider POST /runners</t>
        </is>
      </c>
      <c r="D13" s="42" t="inlineStr">
        <is>
          <t>Refused (403/404)</t>
        </is>
      </c>
      <c r="E13" s="42" t="inlineStr">
        <is>
          <t>Project exists</t>
        </is>
      </c>
      <c r="F13" s="42" t="inlineStr">
        <is>
          <t>Passed</t>
        </is>
      </c>
      <c r="G13" s="162" t="n">
        <v>46325</v>
      </c>
      <c r="H13" s="42" t="inlineStr">
        <is>
          <t>Ngô Thành Đạt</t>
        </is>
      </c>
      <c r="I13" s="42" t="inlineStr">
        <is>
          <t>Passed</t>
        </is>
      </c>
      <c r="J13" s="162" t="n">
        <v>46325</v>
      </c>
      <c r="K13" s="42" t="inlineStr">
        <is>
          <t>Ngô Thành Đạt</t>
        </is>
      </c>
      <c r="L13" s="42" t="inlineStr">
        <is>
          <t>Passed</t>
        </is>
      </c>
      <c r="M13" s="162" t="n">
        <v>46325</v>
      </c>
      <c r="N13" s="42" t="inlineStr">
        <is>
          <t>Ngô Thành Đạt</t>
        </is>
      </c>
      <c r="O13" s="42" t="inlineStr">
        <is>
          <t>HTTP 404</t>
        </is>
      </c>
      <c r="Q13" s="46" t="n"/>
    </row>
    <row r="14" outlineLevel="1">
      <c r="A14" s="42" t="inlineStr">
        <is>
          <t>ST-LN-03</t>
        </is>
      </c>
      <c r="B14" s="42" t="inlineStr">
        <is>
          <t>Revoke a runner</t>
        </is>
      </c>
      <c r="C14" s="42" t="inlineStr">
        <is>
          <t>1. DELETE /runners/{id}</t>
        </is>
      </c>
      <c r="D14" s="42" t="inlineStr">
        <is>
          <t>Runner revoked</t>
        </is>
      </c>
      <c r="E14" s="42" t="inlineStr">
        <is>
          <t>Runner exists</t>
        </is>
      </c>
      <c r="F14" s="42" t="inlineStr">
        <is>
          <t>Passed</t>
        </is>
      </c>
      <c r="G14" s="162" t="n">
        <v>46325</v>
      </c>
      <c r="H14" s="42" t="inlineStr">
        <is>
          <t>Ngô Thành Đạt</t>
        </is>
      </c>
      <c r="I14" s="42" t="inlineStr">
        <is>
          <t>Passed</t>
        </is>
      </c>
      <c r="J14" s="162" t="n">
        <v>46325</v>
      </c>
      <c r="K14" s="42" t="inlineStr">
        <is>
          <t>Ngô Thành Đạt</t>
        </is>
      </c>
      <c r="L14" s="42" t="inlineStr">
        <is>
          <t>Passed</t>
        </is>
      </c>
      <c r="M14" s="162" t="n">
        <v>46325</v>
      </c>
      <c r="N14" s="42" t="inlineStr">
        <is>
          <t>Ngô Thành Đạt</t>
        </is>
      </c>
      <c r="O14" s="42" t="inlineStr">
        <is>
          <t>HTTP 204</t>
        </is>
      </c>
      <c r="Q14" s="46" t="n"/>
    </row>
    <row r="15" customFormat="1" s="32">
      <c r="A15" s="42" t="inlineStr">
        <is>
          <t>ST-LN-04</t>
        </is>
      </c>
      <c r="B15" s="42" t="inlineStr">
        <is>
          <t>Revoke an unknown runner</t>
        </is>
      </c>
      <c r="C15" s="42" t="inlineStr">
        <is>
          <t>1. DELETE /runners/{random id}</t>
        </is>
      </c>
      <c r="D15" s="42" t="inlineStr">
        <is>
          <t>runner_not_found (404)</t>
        </is>
      </c>
      <c r="E15" s="42" t="inlineStr">
        <is>
          <t>None</t>
        </is>
      </c>
      <c r="F15" s="42" t="inlineStr">
        <is>
          <t>Passed</t>
        </is>
      </c>
      <c r="G15" s="162" t="n">
        <v>46325</v>
      </c>
      <c r="H15" s="42" t="inlineStr">
        <is>
          <t>Ngô Thành Đạt</t>
        </is>
      </c>
      <c r="I15" s="42" t="inlineStr">
        <is>
          <t>Passed</t>
        </is>
      </c>
      <c r="J15" s="162" t="n">
        <v>46325</v>
      </c>
      <c r="K15" s="42" t="inlineStr">
        <is>
          <t>Ngô Thành Đạt</t>
        </is>
      </c>
      <c r="L15" s="42" t="inlineStr">
        <is>
          <t>Passed</t>
        </is>
      </c>
      <c r="M15" s="162" t="n">
        <v>46325</v>
      </c>
      <c r="N15" s="42" t="inlineStr">
        <is>
          <t>Ngô Thành Đạt</t>
        </is>
      </c>
      <c r="O15" s="42" t="inlineStr">
        <is>
          <t>HTTP 404</t>
        </is>
      </c>
      <c r="Q15" s="41" t="n"/>
    </row>
    <row r="16" outlineLevel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Q16" s="46" t="n"/>
    </row>
    <row r="17" outlineLevel="1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Q17" s="51" t="n"/>
    </row>
    <row r="18" customFormat="1" s="32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Q18" s="41" t="n"/>
    </row>
    <row r="19" outlineLevel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Q19" s="46" t="n"/>
    </row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R2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48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Research Run Orchestration</t>
        </is>
      </c>
      <c r="C2" s="157" t="n"/>
      <c r="D2" s="157" t="n"/>
      <c r="E2" s="158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Start, monitor, answer, accept, amend, stop and export a research run (FE-04; UC-09 to UC-13).</t>
        </is>
      </c>
      <c r="C3" s="159" t="n"/>
      <c r="D3" s="159" t="n"/>
      <c r="E3" s="160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COUNTIF(A12:A29,"ST-*")</f>
        <v/>
      </c>
      <c r="C4" s="159" t="n"/>
      <c r="D4" s="159" t="n"/>
      <c r="E4" s="160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COUNTIF($F$12:$F$29,B$5)</f>
        <v/>
      </c>
      <c r="C6" s="92">
        <f>COUNTIF($F$12:$F$29,C$5)</f>
        <v/>
      </c>
      <c r="D6" s="92">
        <f>COUNTIF($F$12:$F$29,D$5)</f>
        <v/>
      </c>
      <c r="E6" s="98">
        <f>COUNTIF($F$12:$F$29,E$5)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COUNTIF($I$12:$I$29,B$5)</f>
        <v/>
      </c>
      <c r="C7" s="92">
        <f>COUNTIF($I$12:$I$29,C$5)</f>
        <v/>
      </c>
      <c r="D7" s="92">
        <f>COUNTIF($I$12:$I$29,D$5)</f>
        <v/>
      </c>
      <c r="E7" s="98">
        <f>COUNTIF($I$12:$I$29,E$5)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COUNTIF($L$12:$L$29,B$5)</f>
        <v/>
      </c>
      <c r="C8" s="96">
        <f>COUNTIF($L$12:$L$29,C$5)</f>
        <v/>
      </c>
      <c r="D8" s="96">
        <f>COUNTIF($L$12:$L$29,D$5)</f>
        <v/>
      </c>
      <c r="E8" s="97">
        <f>COUNTIF($L$12:$L$29,E$5)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customFormat="1" s="32">
      <c r="A11" s="161" t="inlineStr">
        <is>
          <t>Start research run</t>
        </is>
      </c>
      <c r="B11" s="161" t="n"/>
      <c r="C11" s="161" t="n"/>
      <c r="D11" s="161" t="n"/>
      <c r="E11" s="161" t="n"/>
      <c r="F11" s="161" t="n"/>
      <c r="G11" s="161" t="n"/>
      <c r="H11" s="161" t="n"/>
      <c r="I11" s="161" t="n"/>
      <c r="J11" s="161" t="n"/>
      <c r="K11" s="161" t="n"/>
      <c r="L11" s="161" t="n"/>
      <c r="M11" s="161" t="n"/>
      <c r="N11" s="161" t="n"/>
      <c r="O11" s="161" t="n"/>
      <c r="Q11" s="41" t="n"/>
    </row>
    <row r="12" outlineLevel="1" customFormat="1" s="47">
      <c r="A12" s="42" t="inlineStr">
        <is>
          <t>ST-RUN-01</t>
        </is>
      </c>
      <c r="B12" s="42" t="inlineStr">
        <is>
          <t>Start a run with an invalid intent</t>
        </is>
      </c>
      <c r="C12" s="42" t="inlineStr">
        <is>
          <t>1. POST /runs with intent kind "guess"</t>
        </is>
      </c>
      <c r="D12" s="42" t="inlineStr">
        <is>
          <t>Validation error (422)</t>
        </is>
      </c>
      <c r="E12" s="42" t="inlineStr">
        <is>
          <t>Researcher; dataset exists</t>
        </is>
      </c>
      <c r="F12" s="42" t="inlineStr">
        <is>
          <t>Passed</t>
        </is>
      </c>
      <c r="G12" s="162" t="n">
        <v>46325</v>
      </c>
      <c r="H12" s="42" t="inlineStr">
        <is>
          <t>Ngô Thành Đạt</t>
        </is>
      </c>
      <c r="I12" s="42" t="inlineStr">
        <is>
          <t>Passed</t>
        </is>
      </c>
      <c r="J12" s="162" t="n">
        <v>46325</v>
      </c>
      <c r="K12" s="42" t="inlineStr">
        <is>
          <t>Ngô Thành Đạt</t>
        </is>
      </c>
      <c r="L12" s="42" t="inlineStr">
        <is>
          <t>Passed</t>
        </is>
      </c>
      <c r="M12" s="162" t="n">
        <v>46325</v>
      </c>
      <c r="N12" s="42" t="inlineStr">
        <is>
          <t>Ngô Thành Đạt</t>
        </is>
      </c>
      <c r="O12" s="42" t="inlineStr">
        <is>
          <t>HTTP 422</t>
        </is>
      </c>
      <c r="Q12" s="46" t="n"/>
    </row>
    <row r="13" outlineLevel="1">
      <c r="A13" s="42" t="inlineStr">
        <is>
          <t>ST-RUN-02</t>
        </is>
      </c>
      <c r="B13" s="42" t="inlineStr">
        <is>
          <t>Start a run before the Platform Admin set the models</t>
        </is>
      </c>
      <c r="C13" s="42" t="inlineStr">
        <is>
          <t>1. POST /runs with intent explore_dataset and the dataset version</t>
        </is>
      </c>
      <c r="D13" s="42" t="inlineStr">
        <is>
          <t>Refused (409 MODELS_NOT_CONFIGURED); no run created</t>
        </is>
      </c>
      <c r="E13" s="42" t="inlineStr">
        <is>
          <t>Researcher; dataset exists; no stage or review model set</t>
        </is>
      </c>
      <c r="F13" s="42" t="inlineStr">
        <is>
          <t>Passed</t>
        </is>
      </c>
      <c r="G13" s="162" t="n">
        <v>46325</v>
      </c>
      <c r="H13" s="42" t="inlineStr">
        <is>
          <t>Ngô Thành Đạt</t>
        </is>
      </c>
      <c r="I13" s="42" t="inlineStr">
        <is>
          <t>Passed</t>
        </is>
      </c>
      <c r="J13" s="162" t="n">
        <v>46325</v>
      </c>
      <c r="K13" s="42" t="inlineStr">
        <is>
          <t>Ngô Thành Đạt</t>
        </is>
      </c>
      <c r="L13" s="42" t="inlineStr">
        <is>
          <t>Passed</t>
        </is>
      </c>
      <c r="M13" s="162" t="n">
        <v>46325</v>
      </c>
      <c r="N13" s="42" t="inlineStr">
        <is>
          <t>Ngô Thành Đạt</t>
        </is>
      </c>
      <c r="O13" s="42" t="inlineStr">
        <is>
          <t>HTTP 409 MODELS_NOT_CONFIGURED, 0 runs</t>
        </is>
      </c>
      <c r="Q13" s="46" t="n"/>
    </row>
    <row r="14" outlineLevel="1">
      <c r="A14" s="42" t="inlineStr">
        <is>
          <t>ST-RUN-03</t>
        </is>
      </c>
      <c r="B14" s="42" t="inlineStr">
        <is>
          <t>Start a run that explores a dataset</t>
        </is>
      </c>
      <c r="C14" s="42" t="inlineStr">
        <is>
          <t>1. POST /runs with intent explore_dataset and the dataset version
2. GET the run</t>
        </is>
      </c>
      <c r="D14" s="42" t="inlineStr">
        <is>
          <t>Run created in state running; dataset stage starts</t>
        </is>
      </c>
      <c r="E14" s="42" t="inlineStr">
        <is>
          <t>Models configured; no active run</t>
        </is>
      </c>
      <c r="F14" s="42" t="inlineStr">
        <is>
          <t>Pending</t>
        </is>
      </c>
      <c r="G14" s="162" t="n">
        <v>46325</v>
      </c>
      <c r="H14" s="42" t="inlineStr">
        <is>
          <t>Ngô Thành Đạt</t>
        </is>
      </c>
      <c r="I14" s="42" t="inlineStr">
        <is>
          <t>Pending</t>
        </is>
      </c>
      <c r="J14" s="162" t="n">
        <v>46325</v>
      </c>
      <c r="K14" s="42" t="inlineStr">
        <is>
          <t>Ngô Thành Đạt</t>
        </is>
      </c>
      <c r="L14" s="42" t="inlineStr">
        <is>
          <t>Pending</t>
        </is>
      </c>
      <c r="M14" s="162" t="n">
        <v>46325</v>
      </c>
      <c r="N14" s="42" t="inlineStr">
        <is>
          <t>Ngô Thành Đạt</t>
        </is>
      </c>
      <c r="O14" s="42" t="inlineStr">
        <is>
          <t>Pending: no LLM provider is configured on the local stack (/admin/models stage and review are null), so no run can start; needs a provider key set by the Platform Admin</t>
        </is>
      </c>
      <c r="Q14" s="46" t="n"/>
    </row>
    <row r="15" customFormat="1" s="32">
      <c r="A15" s="42" t="inlineStr">
        <is>
          <t>ST-RUN-04</t>
        </is>
      </c>
      <c r="B15" s="42" t="inlineStr">
        <is>
          <t>Start a second run while one is active</t>
        </is>
      </c>
      <c r="C15" s="42" t="inlineStr">
        <is>
          <t>1. POST /runs again</t>
        </is>
      </c>
      <c r="D15" s="42" t="inlineStr">
        <is>
          <t>Refused (409); one active run per project</t>
        </is>
      </c>
      <c r="E15" s="42" t="inlineStr">
        <is>
          <t>A run is active</t>
        </is>
      </c>
      <c r="F15" s="42" t="inlineStr">
        <is>
          <t>Pending</t>
        </is>
      </c>
      <c r="G15" s="162" t="n">
        <v>46325</v>
      </c>
      <c r="H15" s="42" t="inlineStr">
        <is>
          <t>Ngô Thành Đạt</t>
        </is>
      </c>
      <c r="I15" s="42" t="inlineStr">
        <is>
          <t>Pending</t>
        </is>
      </c>
      <c r="J15" s="162" t="n">
        <v>46325</v>
      </c>
      <c r="K15" s="42" t="inlineStr">
        <is>
          <t>Ngô Thành Đạt</t>
        </is>
      </c>
      <c r="L15" s="42" t="inlineStr">
        <is>
          <t>Pending</t>
        </is>
      </c>
      <c r="M15" s="162" t="n">
        <v>46325</v>
      </c>
      <c r="N15" s="42" t="inlineStr">
        <is>
          <t>Ngô Thành Đạt</t>
        </is>
      </c>
      <c r="O15" s="42" t="inlineStr">
        <is>
          <t>Pending: no LLM provider is configured on the local stack (/admin/models stage and review are null), so no run can start; needs a provider key set by the Platform Admin</t>
        </is>
      </c>
      <c r="Q15" s="41" t="n"/>
    </row>
    <row r="16" outlineLevel="1">
      <c r="A16" s="161" t="inlineStr">
        <is>
          <t>Monitor run in Run Studio</t>
        </is>
      </c>
      <c r="B16" s="161" t="n"/>
      <c r="C16" s="161" t="n"/>
      <c r="D16" s="161" t="n"/>
      <c r="E16" s="161" t="n"/>
      <c r="F16" s="161" t="n"/>
      <c r="G16" s="161" t="n"/>
      <c r="H16" s="161" t="n"/>
      <c r="I16" s="161" t="n"/>
      <c r="J16" s="161" t="n"/>
      <c r="K16" s="161" t="n"/>
      <c r="L16" s="161" t="n"/>
      <c r="M16" s="161" t="n"/>
      <c r="N16" s="161" t="n"/>
      <c r="O16" s="161" t="n"/>
      <c r="Q16" s="46" t="n"/>
    </row>
    <row r="17" outlineLevel="1">
      <c r="A17" s="42" t="inlineStr">
        <is>
          <t>ST-RUN-05</t>
        </is>
      </c>
      <c r="B17" s="42" t="inlineStr">
        <is>
          <t>Read the run, its stages and events</t>
        </is>
      </c>
      <c r="C17" s="42" t="inlineStr">
        <is>
          <t>1. GET /runs/{id}
2. GET /runs/{id}/stages
3. GET /runs/{id}/events</t>
        </is>
      </c>
      <c r="D17" s="42" t="inlineStr">
        <is>
          <t>One run state; stages and events returned</t>
        </is>
      </c>
      <c r="E17" s="42" t="inlineStr">
        <is>
          <t>Run exists</t>
        </is>
      </c>
      <c r="F17" s="42" t="inlineStr">
        <is>
          <t>Pending</t>
        </is>
      </c>
      <c r="G17" s="162" t="n">
        <v>46325</v>
      </c>
      <c r="H17" s="42" t="inlineStr">
        <is>
          <t>Ngô Thành Đạt</t>
        </is>
      </c>
      <c r="I17" s="42" t="inlineStr">
        <is>
          <t>Pending</t>
        </is>
      </c>
      <c r="J17" s="162" t="n">
        <v>46325</v>
      </c>
      <c r="K17" s="42" t="inlineStr">
        <is>
          <t>Ngô Thành Đạt</t>
        </is>
      </c>
      <c r="L17" s="42" t="inlineStr">
        <is>
          <t>Pending</t>
        </is>
      </c>
      <c r="M17" s="162" t="n">
        <v>46325</v>
      </c>
      <c r="N17" s="42" t="inlineStr">
        <is>
          <t>Ngô Thành Đạt</t>
        </is>
      </c>
      <c r="O17" s="42" t="inlineStr">
        <is>
          <t>Pending: no LLM provider is configured on the local stack (/admin/models stage and review are null), so no run can start; needs a provider key set by the Platform Admin</t>
        </is>
      </c>
      <c r="Q17" s="51" t="n"/>
    </row>
    <row r="18" customFormat="1" s="32">
      <c r="A18" s="161" t="inlineStr">
        <is>
          <t>Answer gate</t>
        </is>
      </c>
      <c r="B18" s="161" t="n"/>
      <c r="C18" s="161" t="n"/>
      <c r="D18" s="161" t="n"/>
      <c r="E18" s="161" t="n"/>
      <c r="F18" s="161" t="n"/>
      <c r="G18" s="161" t="n"/>
      <c r="H18" s="161" t="n"/>
      <c r="I18" s="161" t="n"/>
      <c r="J18" s="161" t="n"/>
      <c r="K18" s="161" t="n"/>
      <c r="L18" s="161" t="n"/>
      <c r="M18" s="161" t="n"/>
      <c r="N18" s="161" t="n"/>
      <c r="O18" s="161" t="n"/>
      <c r="Q18" s="41" t="n"/>
    </row>
    <row r="19" outlineLevel="1">
      <c r="A19" s="42" t="inlineStr">
        <is>
          <t>ST-RUN-06</t>
        </is>
      </c>
      <c r="B19" s="42" t="inlineStr">
        <is>
          <t>Answer a gate of a stage</t>
        </is>
      </c>
      <c r="C19" s="42" t="inlineStr">
        <is>
          <t>1. Wait for a gate
2. POST /stages/{s}/gates/{g} with an option</t>
        </is>
      </c>
      <c r="D19" s="42" t="inlineStr">
        <is>
          <t>Gate closed; stage continues</t>
        </is>
      </c>
      <c r="E19" s="42" t="inlineStr">
        <is>
          <t>Stage waits at a gate</t>
        </is>
      </c>
      <c r="F19" s="42" t="inlineStr">
        <is>
          <t>Pending</t>
        </is>
      </c>
      <c r="G19" s="162" t="n">
        <v>46325</v>
      </c>
      <c r="H19" s="42" t="inlineStr">
        <is>
          <t>Ngô Thành Đạt</t>
        </is>
      </c>
      <c r="I19" s="42" t="inlineStr">
        <is>
          <t>Pending</t>
        </is>
      </c>
      <c r="J19" s="162" t="n">
        <v>46325</v>
      </c>
      <c r="K19" s="42" t="inlineStr">
        <is>
          <t>Ngô Thành Đạt</t>
        </is>
      </c>
      <c r="L19" s="42" t="inlineStr">
        <is>
          <t>Pending</t>
        </is>
      </c>
      <c r="M19" s="162" t="n">
        <v>46325</v>
      </c>
      <c r="N19" s="42" t="inlineStr">
        <is>
          <t>Ngô Thành Đạt</t>
        </is>
      </c>
      <c r="O19" s="42" t="inlineStr">
        <is>
          <t>Pending: no LLM provider is configured on the local stack (/admin/models stage and review are null), so no run can start; needs a provider key set by the Platform Admin</t>
        </is>
      </c>
      <c r="Q19" s="46" t="n"/>
    </row>
    <row r="20">
      <c r="A20" s="161" t="inlineStr">
        <is>
          <t>Accept, send back or rerun stage</t>
        </is>
      </c>
      <c r="B20" s="161" t="n"/>
      <c r="C20" s="161" t="n"/>
      <c r="D20" s="161" t="n"/>
      <c r="E20" s="161" t="n"/>
      <c r="F20" s="161" t="n"/>
      <c r="G20" s="161" t="n"/>
      <c r="H20" s="161" t="n"/>
      <c r="I20" s="161" t="n"/>
      <c r="J20" s="161" t="n"/>
      <c r="K20" s="161" t="n"/>
      <c r="L20" s="161" t="n"/>
      <c r="M20" s="161" t="n"/>
      <c r="N20" s="161" t="n"/>
      <c r="O20" s="161" t="n"/>
    </row>
    <row r="21">
      <c r="A21" s="42" t="inlineStr">
        <is>
          <t>ST-RUN-07</t>
        </is>
      </c>
      <c r="B21" s="42" t="inlineStr">
        <is>
          <t>Accept a stage and send a later stage back</t>
        </is>
      </c>
      <c r="C21" s="42" t="inlineStr">
        <is>
          <t>1. POST /stages/{s}/accept
2. POST /stages/{s2}/send-back</t>
        </is>
      </c>
      <c r="D21" s="42" t="inlineStr">
        <is>
          <t>Stage accepted; iteration 2 created</t>
        </is>
      </c>
      <c r="E21" s="42" t="inlineStr">
        <is>
          <t>Stage completed</t>
        </is>
      </c>
      <c r="F21" s="42" t="inlineStr">
        <is>
          <t>Pending</t>
        </is>
      </c>
      <c r="G21" s="162" t="n">
        <v>46325</v>
      </c>
      <c r="H21" s="42" t="inlineStr">
        <is>
          <t>Ngô Thành Đạt</t>
        </is>
      </c>
      <c r="I21" s="42" t="inlineStr">
        <is>
          <t>Pending</t>
        </is>
      </c>
      <c r="J21" s="162" t="n">
        <v>46325</v>
      </c>
      <c r="K21" s="42" t="inlineStr">
        <is>
          <t>Ngô Thành Đạt</t>
        </is>
      </c>
      <c r="L21" s="42" t="inlineStr">
        <is>
          <t>Pending</t>
        </is>
      </c>
      <c r="M21" s="162" t="n">
        <v>46325</v>
      </c>
      <c r="N21" s="42" t="inlineStr">
        <is>
          <t>Ngô Thành Đạt</t>
        </is>
      </c>
      <c r="O21" s="42" t="inlineStr">
        <is>
          <t>Pending: no LLM provider is configured on the local stack (/admin/models stage and review are null), so no run can start; needs a provider key set by the Platform Admin</t>
        </is>
      </c>
    </row>
    <row r="22">
      <c r="A22" s="161" t="inlineStr">
        <is>
          <t>Amend a research case</t>
        </is>
      </c>
      <c r="B22" s="161" t="n"/>
      <c r="C22" s="161" t="n"/>
      <c r="D22" s="161" t="n"/>
      <c r="E22" s="161" t="n"/>
      <c r="F22" s="161" t="n"/>
      <c r="G22" s="161" t="n"/>
      <c r="H22" s="161" t="n"/>
      <c r="I22" s="161" t="n"/>
      <c r="J22" s="161" t="n"/>
      <c r="K22" s="161" t="n"/>
      <c r="L22" s="161" t="n"/>
      <c r="M22" s="161" t="n"/>
      <c r="N22" s="161" t="n"/>
      <c r="O22" s="161" t="n"/>
    </row>
    <row r="23">
      <c r="A23" s="42" t="inlineStr">
        <is>
          <t>ST-RUN-08</t>
        </is>
      </c>
      <c r="B23" s="42" t="inlineStr">
        <is>
          <t>Amend the case with an empty reason</t>
        </is>
      </c>
      <c r="C23" s="42" t="inlineStr">
        <is>
          <t>1. POST /case/amendments with reason ""</t>
        </is>
      </c>
      <c r="D23" s="42" t="inlineStr">
        <is>
          <t>Refused; case unchanged</t>
        </is>
      </c>
      <c r="E23" s="42" t="inlineStr">
        <is>
          <t>Run exists</t>
        </is>
      </c>
      <c r="F23" s="42" t="inlineStr">
        <is>
          <t>Pending</t>
        </is>
      </c>
      <c r="G23" s="162" t="n">
        <v>46325</v>
      </c>
      <c r="H23" s="42" t="inlineStr">
        <is>
          <t>Ngô Thành Đạt</t>
        </is>
      </c>
      <c r="I23" s="42" t="inlineStr">
        <is>
          <t>Pending</t>
        </is>
      </c>
      <c r="J23" s="162" t="n">
        <v>46325</v>
      </c>
      <c r="K23" s="42" t="inlineStr">
        <is>
          <t>Ngô Thành Đạt</t>
        </is>
      </c>
      <c r="L23" s="42" t="inlineStr">
        <is>
          <t>Pending</t>
        </is>
      </c>
      <c r="M23" s="162" t="n">
        <v>46325</v>
      </c>
      <c r="N23" s="42" t="inlineStr">
        <is>
          <t>Ngô Thành Đạt</t>
        </is>
      </c>
      <c r="O23" s="42" t="inlineStr">
        <is>
          <t>Pending: no LLM provider is configured on the local stack (/admin/models stage and review are null), so no run can start; needs a provider key set by the Platform Admin</t>
        </is>
      </c>
    </row>
    <row r="24">
      <c r="A24" s="161" t="inlineStr">
        <is>
          <t>Comment on run</t>
        </is>
      </c>
      <c r="B24" s="161" t="n"/>
      <c r="C24" s="161" t="n"/>
      <c r="D24" s="161" t="n"/>
      <c r="E24" s="161" t="n"/>
      <c r="F24" s="161" t="n"/>
      <c r="G24" s="161" t="n"/>
      <c r="H24" s="161" t="n"/>
      <c r="I24" s="161" t="n"/>
      <c r="J24" s="161" t="n"/>
      <c r="K24" s="161" t="n"/>
      <c r="L24" s="161" t="n"/>
      <c r="M24" s="161" t="n"/>
      <c r="N24" s="161" t="n"/>
      <c r="O24" s="161" t="n"/>
    </row>
    <row r="25">
      <c r="A25" s="42" t="inlineStr">
        <is>
          <t>ST-RUN-09</t>
        </is>
      </c>
      <c r="B25" s="42" t="inlineStr">
        <is>
          <t>Comment on a run</t>
        </is>
      </c>
      <c r="C25" s="42" t="inlineStr">
        <is>
          <t>1. POST /runs/{id}/comments
2. GET comments</t>
        </is>
      </c>
      <c r="D25" s="42" t="inlineStr">
        <is>
          <t>Comment saved and listed</t>
        </is>
      </c>
      <c r="E25" s="42" t="inlineStr">
        <is>
          <t>Run exists</t>
        </is>
      </c>
      <c r="F25" s="42" t="inlineStr">
        <is>
          <t>Pending</t>
        </is>
      </c>
      <c r="G25" s="162" t="n">
        <v>46325</v>
      </c>
      <c r="H25" s="42" t="inlineStr">
        <is>
          <t>Ngô Thành Đạt</t>
        </is>
      </c>
      <c r="I25" s="42" t="inlineStr">
        <is>
          <t>Pending</t>
        </is>
      </c>
      <c r="J25" s="162" t="n">
        <v>46325</v>
      </c>
      <c r="K25" s="42" t="inlineStr">
        <is>
          <t>Ngô Thành Đạt</t>
        </is>
      </c>
      <c r="L25" s="42" t="inlineStr">
        <is>
          <t>Pending</t>
        </is>
      </c>
      <c r="M25" s="162" t="n">
        <v>46325</v>
      </c>
      <c r="N25" s="42" t="inlineStr">
        <is>
          <t>Ngô Thành Đạt</t>
        </is>
      </c>
      <c r="O25" s="42" t="inlineStr">
        <is>
          <t>Pending: no LLM provider is configured on the local stack (/admin/models stage and review are null), so no run can start; needs a provider key set by the Platform Admin</t>
        </is>
      </c>
    </row>
    <row r="26">
      <c r="A26" s="161" t="inlineStr">
        <is>
          <t>Pause, resume, stop run</t>
        </is>
      </c>
      <c r="B26" s="161" t="n"/>
      <c r="C26" s="161" t="n"/>
      <c r="D26" s="161" t="n"/>
      <c r="E26" s="161" t="n"/>
      <c r="F26" s="161" t="n"/>
      <c r="G26" s="161" t="n"/>
      <c r="H26" s="161" t="n"/>
      <c r="I26" s="161" t="n"/>
      <c r="J26" s="161" t="n"/>
      <c r="K26" s="161" t="n"/>
      <c r="L26" s="161" t="n"/>
      <c r="M26" s="161" t="n"/>
      <c r="N26" s="161" t="n"/>
      <c r="O26" s="161" t="n"/>
    </row>
    <row r="27">
      <c r="A27" s="42" t="inlineStr">
        <is>
          <t>ST-RUN-10</t>
        </is>
      </c>
      <c r="B27" s="42" t="inlineStr">
        <is>
          <t>Stop the run</t>
        </is>
      </c>
      <c r="C27" s="42" t="inlineStr">
        <is>
          <t>1. POST /runs/{id}/stop with a reason
2. GET the run</t>
        </is>
      </c>
      <c r="D27" s="42" t="inlineStr">
        <is>
          <t>Run stopped; accepted objects kept</t>
        </is>
      </c>
      <c r="E27" s="42" t="inlineStr">
        <is>
          <t>Run active</t>
        </is>
      </c>
      <c r="F27" s="42" t="inlineStr">
        <is>
          <t>Pending</t>
        </is>
      </c>
      <c r="G27" s="162" t="n">
        <v>46325</v>
      </c>
      <c r="H27" s="42" t="inlineStr">
        <is>
          <t>Ngô Thành Đạt</t>
        </is>
      </c>
      <c r="I27" s="42" t="inlineStr">
        <is>
          <t>Pending</t>
        </is>
      </c>
      <c r="J27" s="162" t="n">
        <v>46325</v>
      </c>
      <c r="K27" s="42" t="inlineStr">
        <is>
          <t>Ngô Thành Đạt</t>
        </is>
      </c>
      <c r="L27" s="42" t="inlineStr">
        <is>
          <t>Pending</t>
        </is>
      </c>
      <c r="M27" s="162" t="n">
        <v>46325</v>
      </c>
      <c r="N27" s="42" t="inlineStr">
        <is>
          <t>Ngô Thành Đạt</t>
        </is>
      </c>
      <c r="O27" s="42" t="inlineStr">
        <is>
          <t>Pending: no LLM provider is configured on the local stack (/admin/models stage and review are null), so no run can start; needs a provider key set by the Platform Admin</t>
        </is>
      </c>
    </row>
    <row r="28">
      <c r="A28" s="161" t="inlineStr">
        <is>
          <t>Download and compare artifacts</t>
        </is>
      </c>
      <c r="B28" s="161" t="n"/>
      <c r="C28" s="161" t="n"/>
      <c r="D28" s="161" t="n"/>
      <c r="E28" s="161" t="n"/>
      <c r="F28" s="161" t="n"/>
      <c r="G28" s="161" t="n"/>
      <c r="H28" s="161" t="n"/>
      <c r="I28" s="161" t="n"/>
      <c r="J28" s="161" t="n"/>
      <c r="K28" s="161" t="n"/>
      <c r="L28" s="161" t="n"/>
      <c r="M28" s="161" t="n"/>
      <c r="N28" s="161" t="n"/>
      <c r="O28" s="161" t="n"/>
    </row>
    <row r="29">
      <c r="A29" s="42" t="inlineStr">
        <is>
          <t>ST-RUN-11</t>
        </is>
      </c>
      <c r="B29" s="42" t="inlineStr">
        <is>
          <t>Export an ended run</t>
        </is>
      </c>
      <c r="C29" s="42" t="inlineStr">
        <is>
          <t>1. GET /runs/{id}/artifacts/export</t>
        </is>
      </c>
      <c r="D29" s="42" t="inlineStr">
        <is>
          <t>ZIP with every file and its hash</t>
        </is>
      </c>
      <c r="E29" s="42" t="inlineStr">
        <is>
          <t>Run ended</t>
        </is>
      </c>
      <c r="F29" s="42" t="inlineStr">
        <is>
          <t>Pending</t>
        </is>
      </c>
      <c r="G29" s="162" t="n">
        <v>46325</v>
      </c>
      <c r="H29" s="42" t="inlineStr">
        <is>
          <t>Ngô Thành Đạt</t>
        </is>
      </c>
      <c r="I29" s="42" t="inlineStr">
        <is>
          <t>Pending</t>
        </is>
      </c>
      <c r="J29" s="162" t="n">
        <v>46325</v>
      </c>
      <c r="K29" s="42" t="inlineStr">
        <is>
          <t>Ngô Thành Đạt</t>
        </is>
      </c>
      <c r="L29" s="42" t="inlineStr">
        <is>
          <t>Pending</t>
        </is>
      </c>
      <c r="M29" s="162" t="n">
        <v>46325</v>
      </c>
      <c r="N29" s="42" t="inlineStr">
        <is>
          <t>Ngô Thành Đạt</t>
        </is>
      </c>
      <c r="O29" s="42" t="inlineStr">
        <is>
          <t>Pending: no LLM provider is configured on the local stack (/admin/models stage and review are null), so no run can start; needs a provider key set by the Platform Admin</t>
        </is>
      </c>
    </row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2:R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48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Notifications</t>
        </is>
      </c>
      <c r="C2" s="157" t="n"/>
      <c r="D2" s="157" t="n"/>
      <c r="E2" s="158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Notification preferences and in-app notifications.</t>
        </is>
      </c>
      <c r="C3" s="159" t="n"/>
      <c r="D3" s="159" t="n"/>
      <c r="E3" s="160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COUNTIF(A12:A14,"ST-*")</f>
        <v/>
      </c>
      <c r="C4" s="159" t="n"/>
      <c r="D4" s="159" t="n"/>
      <c r="E4" s="160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COUNTIF($F$12:$F$14,B$5)</f>
        <v/>
      </c>
      <c r="C6" s="92">
        <f>COUNTIF($F$12:$F$14,C$5)</f>
        <v/>
      </c>
      <c r="D6" s="92">
        <f>COUNTIF($F$12:$F$14,D$5)</f>
        <v/>
      </c>
      <c r="E6" s="98">
        <f>COUNTIF($F$12:$F$14,E$5)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COUNTIF($I$12:$I$14,B$5)</f>
        <v/>
      </c>
      <c r="C7" s="92">
        <f>COUNTIF($I$12:$I$14,C$5)</f>
        <v/>
      </c>
      <c r="D7" s="92">
        <f>COUNTIF($I$12:$I$14,D$5)</f>
        <v/>
      </c>
      <c r="E7" s="98">
        <f>COUNTIF($I$12:$I$14,E$5)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COUNTIF($L$12:$L$14,B$5)</f>
        <v/>
      </c>
      <c r="C8" s="96">
        <f>COUNTIF($L$12:$L$14,C$5)</f>
        <v/>
      </c>
      <c r="D8" s="96">
        <f>COUNTIF($L$12:$L$14,D$5)</f>
        <v/>
      </c>
      <c r="E8" s="97">
        <f>COUNTIF($L$12:$L$14,E$5)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customFormat="1" s="32">
      <c r="A11" s="161" t="inlineStr">
        <is>
          <t>Notification preferences</t>
        </is>
      </c>
      <c r="B11" s="161" t="n"/>
      <c r="C11" s="161" t="n"/>
      <c r="D11" s="161" t="n"/>
      <c r="E11" s="161" t="n"/>
      <c r="F11" s="161" t="n"/>
      <c r="G11" s="161" t="n"/>
      <c r="H11" s="161" t="n"/>
      <c r="I11" s="161" t="n"/>
      <c r="J11" s="161" t="n"/>
      <c r="K11" s="161" t="n"/>
      <c r="L11" s="161" t="n"/>
      <c r="M11" s="161" t="n"/>
      <c r="N11" s="161" t="n"/>
      <c r="O11" s="161" t="n"/>
      <c r="Q11" s="41" t="n"/>
    </row>
    <row r="12" outlineLevel="1" customFormat="1" s="47">
      <c r="A12" s="42" t="inlineStr">
        <is>
          <t>ST-NT-01</t>
        </is>
      </c>
      <c r="B12" s="42" t="inlineStr">
        <is>
          <t>Read and change own preferences</t>
        </is>
      </c>
      <c r="C12" s="42" t="inlineStr">
        <is>
          <t>1. GET notification-preferences/me
2. PATCH with the version</t>
        </is>
      </c>
      <c r="D12" s="42" t="inlineStr">
        <is>
          <t>Preferences saved</t>
        </is>
      </c>
      <c r="E12" s="42" t="inlineStr">
        <is>
          <t>Member of the project</t>
        </is>
      </c>
      <c r="F12" s="42" t="inlineStr">
        <is>
          <t>Passed</t>
        </is>
      </c>
      <c r="G12" s="162" t="n">
        <v>46325</v>
      </c>
      <c r="H12" s="42" t="inlineStr">
        <is>
          <t>Ngô Thành Đạt</t>
        </is>
      </c>
      <c r="I12" s="42" t="inlineStr">
        <is>
          <t>Passed</t>
        </is>
      </c>
      <c r="J12" s="162" t="n">
        <v>46325</v>
      </c>
      <c r="K12" s="42" t="inlineStr">
        <is>
          <t>Ngô Thành Đạt</t>
        </is>
      </c>
      <c r="L12" s="42" t="inlineStr">
        <is>
          <t>Passed</t>
        </is>
      </c>
      <c r="M12" s="162" t="n">
        <v>46325</v>
      </c>
      <c r="N12" s="42" t="inlineStr">
        <is>
          <t>Ngô Thành Đạt</t>
        </is>
      </c>
      <c r="O12" s="42" t="inlineStr">
        <is>
          <t>HTTP 200</t>
        </is>
      </c>
      <c r="Q12" s="46" t="n"/>
    </row>
    <row r="13" outlineLevel="1">
      <c r="A13" s="161" t="inlineStr">
        <is>
          <t>View notifications</t>
        </is>
      </c>
      <c r="B13" s="161" t="n"/>
      <c r="C13" s="161" t="n"/>
      <c r="D13" s="161" t="n"/>
      <c r="E13" s="161" t="n"/>
      <c r="F13" s="161" t="n"/>
      <c r="G13" s="161" t="n"/>
      <c r="H13" s="161" t="n"/>
      <c r="I13" s="161" t="n"/>
      <c r="J13" s="161" t="n"/>
      <c r="K13" s="161" t="n"/>
      <c r="L13" s="161" t="n"/>
      <c r="M13" s="161" t="n"/>
      <c r="N13" s="161" t="n"/>
      <c r="O13" s="161" t="n"/>
      <c r="Q13" s="46" t="n"/>
    </row>
    <row r="14" outlineLevel="1">
      <c r="A14" s="42" t="inlineStr">
        <is>
          <t>ST-NT-02</t>
        </is>
      </c>
      <c r="B14" s="42" t="inlineStr">
        <is>
          <t>Read the unread count and mark all read</t>
        </is>
      </c>
      <c r="C14" s="42" t="inlineStr">
        <is>
          <t>1. GET /notifications/unread-count
2. POST /notifications/read-all
3. GET unread-count</t>
        </is>
      </c>
      <c r="D14" s="42" t="inlineStr">
        <is>
          <t>Count is 0 after read-all</t>
        </is>
      </c>
      <c r="E14" s="42" t="inlineStr">
        <is>
          <t>Signed in</t>
        </is>
      </c>
      <c r="F14" s="42" t="inlineStr">
        <is>
          <t>Passed</t>
        </is>
      </c>
      <c r="G14" s="162" t="n">
        <v>46325</v>
      </c>
      <c r="H14" s="42" t="inlineStr">
        <is>
          <t>Ngô Thành Đạt</t>
        </is>
      </c>
      <c r="I14" s="42" t="inlineStr">
        <is>
          <t>Passed</t>
        </is>
      </c>
      <c r="J14" s="162" t="n">
        <v>46325</v>
      </c>
      <c r="K14" s="42" t="inlineStr">
        <is>
          <t>Ngô Thành Đạt</t>
        </is>
      </c>
      <c r="L14" s="42" t="inlineStr">
        <is>
          <t>Passed</t>
        </is>
      </c>
      <c r="M14" s="162" t="n">
        <v>46325</v>
      </c>
      <c r="N14" s="42" t="inlineStr">
        <is>
          <t>Ngô Thành Đạt</t>
        </is>
      </c>
      <c r="O14" s="42" t="inlineStr">
        <is>
          <t>200/200/200, count=0</t>
        </is>
      </c>
      <c r="Q14" s="46" t="n"/>
    </row>
    <row r="15" customFormat="1" s="32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Q15" s="41" t="n"/>
    </row>
    <row r="16" outlineLevel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Q16" s="46" t="n"/>
    </row>
    <row r="17" outlineLevel="1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Q17" s="51" t="n"/>
    </row>
    <row r="18" customFormat="1" s="32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Q18" s="41" t="n"/>
    </row>
    <row r="19" outlineLevel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Q19" s="46" t="n"/>
    </row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2:R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48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Administration</t>
        </is>
      </c>
      <c r="C2" s="157" t="n"/>
      <c r="D2" s="157" t="n"/>
      <c r="E2" s="158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Platform Admin overview, usage and settings (UC-02, UC-05).</t>
        </is>
      </c>
      <c r="C3" s="159" t="n"/>
      <c r="D3" s="159" t="n"/>
      <c r="E3" s="160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COUNTIF(A12:A17,"ST-*")</f>
        <v/>
      </c>
      <c r="C4" s="159" t="n"/>
      <c r="D4" s="159" t="n"/>
      <c r="E4" s="160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COUNTIF($F$12:$F$17,B$5)</f>
        <v/>
      </c>
      <c r="C6" s="92">
        <f>COUNTIF($F$12:$F$17,C$5)</f>
        <v/>
      </c>
      <c r="D6" s="92">
        <f>COUNTIF($F$12:$F$17,D$5)</f>
        <v/>
      </c>
      <c r="E6" s="98">
        <f>COUNTIF($F$12:$F$17,E$5)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COUNTIF($I$12:$I$17,B$5)</f>
        <v/>
      </c>
      <c r="C7" s="92">
        <f>COUNTIF($I$12:$I$17,C$5)</f>
        <v/>
      </c>
      <c r="D7" s="92">
        <f>COUNTIF($I$12:$I$17,D$5)</f>
        <v/>
      </c>
      <c r="E7" s="98">
        <f>COUNTIF($I$12:$I$17,E$5)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COUNTIF($L$12:$L$17,B$5)</f>
        <v/>
      </c>
      <c r="C8" s="96">
        <f>COUNTIF($L$12:$L$17,C$5)</f>
        <v/>
      </c>
      <c r="D8" s="96">
        <f>COUNTIF($L$12:$L$17,D$5)</f>
        <v/>
      </c>
      <c r="E8" s="97">
        <f>COUNTIF($L$12:$L$17,E$5)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customFormat="1" s="32">
      <c r="A11" s="161" t="inlineStr">
        <is>
          <t>Review health and operating metrics</t>
        </is>
      </c>
      <c r="B11" s="161" t="n"/>
      <c r="C11" s="161" t="n"/>
      <c r="D11" s="161" t="n"/>
      <c r="E11" s="161" t="n"/>
      <c r="F11" s="161" t="n"/>
      <c r="G11" s="161" t="n"/>
      <c r="H11" s="161" t="n"/>
      <c r="I11" s="161" t="n"/>
      <c r="J11" s="161" t="n"/>
      <c r="K11" s="161" t="n"/>
      <c r="L11" s="161" t="n"/>
      <c r="M11" s="161" t="n"/>
      <c r="N11" s="161" t="n"/>
      <c r="O11" s="161" t="n"/>
      <c r="Q11" s="41" t="n"/>
    </row>
    <row r="12" outlineLevel="1" customFormat="1" s="47">
      <c r="A12" s="42" t="inlineStr">
        <is>
          <t>ST-AD-01</t>
        </is>
      </c>
      <c r="B12" s="42" t="inlineStr">
        <is>
          <t>Platform Admin opens the overview</t>
        </is>
      </c>
      <c r="C12" s="42" t="inlineStr">
        <is>
          <t>1. Sign in as admin@example.com
2. GET /admin/overview</t>
        </is>
      </c>
      <c r="D12" s="42" t="inlineStr">
        <is>
          <t>Overview returned</t>
        </is>
      </c>
      <c r="E12" s="42" t="inlineStr">
        <is>
          <t>Default admin account</t>
        </is>
      </c>
      <c r="F12" s="42" t="inlineStr">
        <is>
          <t>Passed</t>
        </is>
      </c>
      <c r="G12" s="162" t="n">
        <v>46325</v>
      </c>
      <c r="H12" s="42" t="inlineStr">
        <is>
          <t>Ngô Thành Đạt</t>
        </is>
      </c>
      <c r="I12" s="42" t="inlineStr">
        <is>
          <t>Passed</t>
        </is>
      </c>
      <c r="J12" s="162" t="n">
        <v>46325</v>
      </c>
      <c r="K12" s="42" t="inlineStr">
        <is>
          <t>Ngô Thành Đạt</t>
        </is>
      </c>
      <c r="L12" s="42" t="inlineStr">
        <is>
          <t>Passed</t>
        </is>
      </c>
      <c r="M12" s="162" t="n">
        <v>46325</v>
      </c>
      <c r="N12" s="42" t="inlineStr">
        <is>
          <t>Ngô Thành Đạt</t>
        </is>
      </c>
      <c r="O12" s="42" t="inlineStr">
        <is>
          <t>HTTP 200</t>
        </is>
      </c>
      <c r="Q12" s="46" t="n"/>
    </row>
    <row r="13" outlineLevel="1">
      <c r="A13" s="42" t="inlineStr">
        <is>
          <t>ST-AD-02</t>
        </is>
      </c>
      <c r="B13" s="42" t="inlineStr">
        <is>
          <t>A normal user opens the admin overview</t>
        </is>
      </c>
      <c r="C13" s="42" t="inlineStr">
        <is>
          <t>1. As Researcher GET /admin/overview</t>
        </is>
      </c>
      <c r="D13" s="42" t="inlineStr">
        <is>
          <t>Refused (403)</t>
        </is>
      </c>
      <c r="E13" s="42" t="inlineStr">
        <is>
          <t>Signed in</t>
        </is>
      </c>
      <c r="F13" s="42" t="inlineStr">
        <is>
          <t>Passed</t>
        </is>
      </c>
      <c r="G13" s="162" t="n">
        <v>46325</v>
      </c>
      <c r="H13" s="42" t="inlineStr">
        <is>
          <t>Ngô Thành Đạt</t>
        </is>
      </c>
      <c r="I13" s="42" t="inlineStr">
        <is>
          <t>Passed</t>
        </is>
      </c>
      <c r="J13" s="162" t="n">
        <v>46325</v>
      </c>
      <c r="K13" s="42" t="inlineStr">
        <is>
          <t>Ngô Thành Đạt</t>
        </is>
      </c>
      <c r="L13" s="42" t="inlineStr">
        <is>
          <t>Passed</t>
        </is>
      </c>
      <c r="M13" s="162" t="n">
        <v>46325</v>
      </c>
      <c r="N13" s="42" t="inlineStr">
        <is>
          <t>Ngô Thành Đạt</t>
        </is>
      </c>
      <c r="O13" s="42" t="inlineStr">
        <is>
          <t>HTTP 403</t>
        </is>
      </c>
      <c r="Q13" s="46" t="n"/>
    </row>
    <row r="14" outlineLevel="1">
      <c r="A14" s="161" t="inlineStr">
        <is>
          <t>View project metadata</t>
        </is>
      </c>
      <c r="B14" s="161" t="n"/>
      <c r="C14" s="161" t="n"/>
      <c r="D14" s="161" t="n"/>
      <c r="E14" s="161" t="n"/>
      <c r="F14" s="161" t="n"/>
      <c r="G14" s="161" t="n"/>
      <c r="H14" s="161" t="n"/>
      <c r="I14" s="161" t="n"/>
      <c r="J14" s="161" t="n"/>
      <c r="K14" s="161" t="n"/>
      <c r="L14" s="161" t="n"/>
      <c r="M14" s="161" t="n"/>
      <c r="N14" s="161" t="n"/>
      <c r="O14" s="161" t="n"/>
      <c r="Q14" s="46" t="n"/>
    </row>
    <row r="15" customFormat="1" s="32">
      <c r="A15" s="42" t="inlineStr">
        <is>
          <t>ST-AD-03</t>
        </is>
      </c>
      <c r="B15" s="42" t="inlineStr">
        <is>
          <t>Platform Admin reads project usage without content</t>
        </is>
      </c>
      <c r="C15" s="42" t="inlineStr">
        <is>
          <t>1. As admin GET /admin/usage/projects
2. As admin GET a dataset of the project</t>
        </is>
      </c>
      <c r="D15" s="42" t="inlineStr">
        <is>
          <t>Usage listed; dataset refused</t>
        </is>
      </c>
      <c r="E15" s="42" t="inlineStr">
        <is>
          <t>Admin is not a member</t>
        </is>
      </c>
      <c r="F15" s="42" t="inlineStr">
        <is>
          <t>Failed</t>
        </is>
      </c>
      <c r="G15" s="162" t="n">
        <v>46325</v>
      </c>
      <c r="H15" s="42" t="inlineStr">
        <is>
          <t>Ngô Thành Đạt</t>
        </is>
      </c>
      <c r="I15" s="42" t="inlineStr">
        <is>
          <t>Failed</t>
        </is>
      </c>
      <c r="J15" s="162" t="n">
        <v>46325</v>
      </c>
      <c r="K15" s="42" t="inlineStr">
        <is>
          <t>Ngô Thành Đạt</t>
        </is>
      </c>
      <c r="L15" s="42" t="inlineStr">
        <is>
          <t>Failed</t>
        </is>
      </c>
      <c r="M15" s="162" t="n">
        <v>46325</v>
      </c>
      <c r="N15" s="42" t="inlineStr">
        <is>
          <t>Ngô Thành Đạt</t>
        </is>
      </c>
      <c r="O15" s="42" t="inlineStr">
        <is>
          <t>usage 200, dataset 200</t>
        </is>
      </c>
      <c r="Q15" s="41" t="n"/>
    </row>
    <row r="16" outlineLevel="1">
      <c r="A16" s="161" t="inlineStr">
        <is>
          <t>Manage platform settings</t>
        </is>
      </c>
      <c r="B16" s="161" t="n"/>
      <c r="C16" s="161" t="n"/>
      <c r="D16" s="161" t="n"/>
      <c r="E16" s="161" t="n"/>
      <c r="F16" s="161" t="n"/>
      <c r="G16" s="161" t="n"/>
      <c r="H16" s="161" t="n"/>
      <c r="I16" s="161" t="n"/>
      <c r="J16" s="161" t="n"/>
      <c r="K16" s="161" t="n"/>
      <c r="L16" s="161" t="n"/>
      <c r="M16" s="161" t="n"/>
      <c r="N16" s="161" t="n"/>
      <c r="O16" s="161" t="n"/>
      <c r="Q16" s="46" t="n"/>
    </row>
    <row r="17" outlineLevel="1">
      <c r="A17" s="42" t="inlineStr">
        <is>
          <t>ST-AD-04</t>
        </is>
      </c>
      <c r="B17" s="42" t="inlineStr">
        <is>
          <t>Read the platform settings schema</t>
        </is>
      </c>
      <c r="C17" s="42" t="inlineStr">
        <is>
          <t>1. As admin GET /admin/settings and /admin/settings/schema</t>
        </is>
      </c>
      <c r="D17" s="42" t="inlineStr">
        <is>
          <t>Settings and schema returned</t>
        </is>
      </c>
      <c r="E17" s="42" t="inlineStr">
        <is>
          <t>Signed in as admin</t>
        </is>
      </c>
      <c r="F17" s="42" t="inlineStr">
        <is>
          <t>Passed</t>
        </is>
      </c>
      <c r="G17" s="162" t="n">
        <v>46325</v>
      </c>
      <c r="H17" s="42" t="inlineStr">
        <is>
          <t>Ngô Thành Đạt</t>
        </is>
      </c>
      <c r="I17" s="42" t="inlineStr">
        <is>
          <t>Passed</t>
        </is>
      </c>
      <c r="J17" s="162" t="n">
        <v>46325</v>
      </c>
      <c r="K17" s="42" t="inlineStr">
        <is>
          <t>Ngô Thành Đạt</t>
        </is>
      </c>
      <c r="L17" s="42" t="inlineStr">
        <is>
          <t>Passed</t>
        </is>
      </c>
      <c r="M17" s="162" t="n">
        <v>46325</v>
      </c>
      <c r="N17" s="42" t="inlineStr">
        <is>
          <t>Ngô Thành Đạt</t>
        </is>
      </c>
      <c r="O17" s="42" t="inlineStr">
        <is>
          <t>200/200</t>
        </is>
      </c>
      <c r="Q17" s="51" t="n"/>
    </row>
    <row r="18" customFormat="1" s="32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Q18" s="41" t="n"/>
    </row>
    <row r="19" outlineLevel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Q19" s="46" t="n"/>
    </row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:title xmlns:dc="http://purl.org/dc/elements/1.1/">Test case</dc:title>
  <dc:description xmlns:dc="http://purl.org/dc/elements/1.1/">Updates sheet Cover: Add logo, document code, creator, reviewer/approver._x000d_
Add sheet Test Case List._x000d_
Change Sheet Company, User, Provider to Modules. Add column Inter-test case dependent. Update these sheets._x000d_
Update Test Report</dc:description>
  <dc:subject xmlns:dc="http://purl.org/dc/elements/1.1/">v1/0</dc:subject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2026-10-30T13:19:51Z</dcterms:modified>
  <cp:lastModifiedBy>KienNT</cp:lastModifiedBy>
  <cp:category>BM</cp:category>
  <cp:lastPrinted>2010-11-12T10:33:20Z</cp:lastPrinted>
</cp:coreProperties>
</file>